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20" windowHeight="9750" firstSheet="1" activeTab="3"/>
  </bookViews>
  <sheets>
    <sheet name="Raw_Data" sheetId="1" r:id="rId1"/>
    <sheet name="Pivot_Tables" sheetId="6" r:id="rId2"/>
    <sheet name="KPI_Calculations" sheetId="4" r:id="rId3"/>
    <sheet name="Dashboard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<sst xmlns="http://schemas.openxmlformats.org/spreadsheetml/2006/main" count="4070" uniqueCount="1402">
  <si>
    <t>Order ID</t>
  </si>
  <si>
    <t>Date</t>
  </si>
  <si>
    <t>Region</t>
  </si>
  <si>
    <t>State</t>
  </si>
  <si>
    <t>Sales Rep</t>
  </si>
  <si>
    <t>Product Category</t>
  </si>
  <si>
    <t>Product</t>
  </si>
  <si>
    <t>Units Sold</t>
  </si>
  <si>
    <t>Revenue</t>
  </si>
  <si>
    <t>Profit</t>
  </si>
  <si>
    <t>Discount (%)</t>
  </si>
  <si>
    <t>Shipping Cost</t>
  </si>
  <si>
    <t>Sales Channel</t>
  </si>
  <si>
    <t>Month</t>
  </si>
  <si>
    <t>Quarter</t>
  </si>
  <si>
    <t>Year</t>
  </si>
  <si>
    <t>Profit Margin%</t>
  </si>
  <si>
    <t>Revenue Target</t>
  </si>
  <si>
    <t>NG-10001</t>
  </si>
  <si>
    <t>South</t>
  </si>
  <si>
    <t>Rivers</t>
  </si>
  <si>
    <t>Amara Okafor</t>
  </si>
  <si>
    <t>Electronics</t>
  </si>
  <si>
    <t>Smartphone</t>
  </si>
  <si>
    <t>Online</t>
  </si>
  <si>
    <t>NG-10002</t>
  </si>
  <si>
    <t>West</t>
  </si>
  <si>
    <t>Lagos</t>
  </si>
  <si>
    <t>Chidi Okonkwo</t>
  </si>
  <si>
    <t>Clothing</t>
  </si>
  <si>
    <t>Denim Jeans</t>
  </si>
  <si>
    <t>Retail</t>
  </si>
  <si>
    <t>NG-10003</t>
  </si>
  <si>
    <t>North</t>
  </si>
  <si>
    <t>Kano</t>
  </si>
  <si>
    <t>Fatima Bello</t>
  </si>
  <si>
    <t>Food</t>
  </si>
  <si>
    <t>Rice (5kg)</t>
  </si>
  <si>
    <t>Wholesale</t>
  </si>
  <si>
    <t>NG-10004</t>
  </si>
  <si>
    <t>East</t>
  </si>
  <si>
    <t>Enugu</t>
  </si>
  <si>
    <t>Emeka Nwosu</t>
  </si>
  <si>
    <t>Furniture</t>
  </si>
  <si>
    <t>Office Chair</t>
  </si>
  <si>
    <t>NG-10005</t>
  </si>
  <si>
    <t>Oyo</t>
  </si>
  <si>
    <t>Oluwaseun Adeyemi</t>
  </si>
  <si>
    <t>Laptop</t>
  </si>
  <si>
    <t>NG-10006</t>
  </si>
  <si>
    <t>Delta</t>
  </si>
  <si>
    <t>Ngozi Eze</t>
  </si>
  <si>
    <t>Sneakers</t>
  </si>
  <si>
    <t>NG-10007</t>
  </si>
  <si>
    <t>Kaduna</t>
  </si>
  <si>
    <t>Ibrahim Musa</t>
  </si>
  <si>
    <t>Vegetable Oil (5L)</t>
  </si>
  <si>
    <t>NG-10008</t>
  </si>
  <si>
    <t>Tunde Bakare</t>
  </si>
  <si>
    <t>Headphones</t>
  </si>
  <si>
    <t>NG-10009</t>
  </si>
  <si>
    <t>Anambra</t>
  </si>
  <si>
    <t>Ifeanyi Obi</t>
  </si>
  <si>
    <t>Dining Table</t>
  </si>
  <si>
    <t>NG-10010</t>
  </si>
  <si>
    <t>Ada Obi</t>
  </si>
  <si>
    <t>Traditional Dress</t>
  </si>
  <si>
    <t>NG-10011</t>
  </si>
  <si>
    <t>Aisha Mohammed</t>
  </si>
  <si>
    <t>Bread Loaf</t>
  </si>
  <si>
    <t>NG-10012</t>
  </si>
  <si>
    <t>Ogun</t>
  </si>
  <si>
    <t>Segun Ogunleye</t>
  </si>
  <si>
    <t>Power Bank</t>
  </si>
  <si>
    <t>NG-10013</t>
  </si>
  <si>
    <t>Chinwe Okpara</t>
  </si>
  <si>
    <t>Shirts</t>
  </si>
  <si>
    <t>NG-10014</t>
  </si>
  <si>
    <t>Peter Ugwu</t>
  </si>
  <si>
    <t>Bookshelf</t>
  </si>
  <si>
    <t>NG-10015</t>
  </si>
  <si>
    <t>Hauwa Adamu</t>
  </si>
  <si>
    <t>Milk (1L)</t>
  </si>
  <si>
    <t>NG-10016</t>
  </si>
  <si>
    <t>Bola Tinubu</t>
  </si>
  <si>
    <t>Tablet</t>
  </si>
  <si>
    <t>NG-10017</t>
  </si>
  <si>
    <t>Michael Eze</t>
  </si>
  <si>
    <t>Jackets</t>
  </si>
  <si>
    <t>NG-10018</t>
  </si>
  <si>
    <t>Usman Dangote</t>
  </si>
  <si>
    <t>Sugar (1kg)</t>
  </si>
  <si>
    <t>NG-10019</t>
  </si>
  <si>
    <t>Imo</t>
  </si>
  <si>
    <t>Grace Okoro</t>
  </si>
  <si>
    <t>Mattress</t>
  </si>
  <si>
    <t>NG-10020</t>
  </si>
  <si>
    <t>Adekunle Gold</t>
  </si>
  <si>
    <t>Smartwatch</t>
  </si>
  <si>
    <t>NG-10021</t>
  </si>
  <si>
    <t>Cross River</t>
  </si>
  <si>
    <t>Effiong James</t>
  </si>
  <si>
    <t>Polo T-shirts</t>
  </si>
  <si>
    <t>NG-10022</t>
  </si>
  <si>
    <t>Zainab Abubakar</t>
  </si>
  <si>
    <t>Pasta (500g)</t>
  </si>
  <si>
    <t>NG-10023</t>
  </si>
  <si>
    <t>Funke Akindele</t>
  </si>
  <si>
    <t>Study Desk</t>
  </si>
  <si>
    <t>NG-10024</t>
  </si>
  <si>
    <t>Chukwudi Eze</t>
  </si>
  <si>
    <t>Bluetooth Speaker</t>
  </si>
  <si>
    <t>NG-10025</t>
  </si>
  <si>
    <t>Bayelsa</t>
  </si>
  <si>
    <t>Precious Jonathan</t>
  </si>
  <si>
    <t>Shorts</t>
  </si>
  <si>
    <t>NG-10026</t>
  </si>
  <si>
    <t>Amina Yusuf</t>
  </si>
  <si>
    <t>Chicken (whole)</t>
  </si>
  <si>
    <t>NG-10027</t>
  </si>
  <si>
    <t>Dayo Adenuga</t>
  </si>
  <si>
    <t>Printer</t>
  </si>
  <si>
    <t>NG-10028</t>
  </si>
  <si>
    <t>Beatrice Nwankwo</t>
  </si>
  <si>
    <t>Sweaters</t>
  </si>
  <si>
    <t>NG-10029</t>
  </si>
  <si>
    <t>Abia</t>
  </si>
  <si>
    <t>Obinna Nwosu</t>
  </si>
  <si>
    <t>Sofa Set</t>
  </si>
  <si>
    <t>NG-10030</t>
  </si>
  <si>
    <t>Sani Bello</t>
  </si>
  <si>
    <t>Beans (2kg)</t>
  </si>
  <si>
    <t>NG-10031</t>
  </si>
  <si>
    <t>Temilade Openiyi</t>
  </si>
  <si>
    <t>USB Drive</t>
  </si>
  <si>
    <t>NG-10032</t>
  </si>
  <si>
    <t>Chika Uche</t>
  </si>
  <si>
    <t>Hats</t>
  </si>
  <si>
    <t>NG-10033</t>
  </si>
  <si>
    <t>Rashida Yakubu</t>
  </si>
  <si>
    <t>Yam (tuber)</t>
  </si>
  <si>
    <t>NG-10034</t>
  </si>
  <si>
    <t>Bobrisky Okuneye</t>
  </si>
  <si>
    <t>Wardrobe</t>
  </si>
  <si>
    <t>NG-10035</t>
  </si>
  <si>
    <t>Nnamdi Kanu</t>
  </si>
  <si>
    <t>Monitor</t>
  </si>
  <si>
    <t>NG-10036</t>
  </si>
  <si>
    <t>Patience Ozokwor</t>
  </si>
  <si>
    <t>Gowns</t>
  </si>
  <si>
    <t>NG-10037</t>
  </si>
  <si>
    <t>Ahmed Musa</t>
  </si>
  <si>
    <t>Groundnut Oil (2L)</t>
  </si>
  <si>
    <t>NG-10038</t>
  </si>
  <si>
    <t>Simi Kosoko</t>
  </si>
  <si>
    <t>Earphones</t>
  </si>
  <si>
    <t>NG-10039</t>
  </si>
  <si>
    <t>Adaobi Okoli</t>
  </si>
  <si>
    <t>Coffee Table</t>
  </si>
  <si>
    <t>NG-10040</t>
  </si>
  <si>
    <t>Fatima Suleiman</t>
  </si>
  <si>
    <t>Maize Flour (1kg)</t>
  </si>
  <si>
    <t>NG-10041</t>
  </si>
  <si>
    <t>Femi Kuti</t>
  </si>
  <si>
    <t>Jeans</t>
  </si>
  <si>
    <t>NG-10042</t>
  </si>
  <si>
    <t>Tammy George</t>
  </si>
  <si>
    <t>Router</t>
  </si>
  <si>
    <t>NG-10043</t>
  </si>
  <si>
    <t>Hassan Shehu</t>
  </si>
  <si>
    <t>Tomato Paste (70g)</t>
  </si>
  <si>
    <t>NG-10044</t>
  </si>
  <si>
    <t>Chinelo Aniekwe</t>
  </si>
  <si>
    <t>TV Stand</t>
  </si>
  <si>
    <t>NG-10045</t>
  </si>
  <si>
    <t>Kizz Daniel</t>
  </si>
  <si>
    <t>Charger</t>
  </si>
  <si>
    <t>NG-10046</t>
  </si>
  <si>
    <t>Edem Duke</t>
  </si>
  <si>
    <t>Blazers</t>
  </si>
  <si>
    <t>NG-10047</t>
  </si>
  <si>
    <t>Aisha Buhari</t>
  </si>
  <si>
    <t>Orange Juice (1L)</t>
  </si>
  <si>
    <t>NG-10048</t>
  </si>
  <si>
    <t>Wizkid Ayodele</t>
  </si>
  <si>
    <t>Smart TV</t>
  </si>
  <si>
    <t>NG-10049</t>
  </si>
  <si>
    <t>Uche Jombo</t>
  </si>
  <si>
    <t>Recliner Chair</t>
  </si>
  <si>
    <t>NG-10050</t>
  </si>
  <si>
    <t>Ovie Omo-Agege</t>
  </si>
  <si>
    <t>Socks</t>
  </si>
  <si>
    <t>NG-10051</t>
  </si>
  <si>
    <t>Lawal Bala</t>
  </si>
  <si>
    <t>Cabbage (head)</t>
  </si>
  <si>
    <t>NG-10052</t>
  </si>
  <si>
    <t>Davido Adeleke</t>
  </si>
  <si>
    <t>Webcam</t>
  </si>
  <si>
    <t>NG-10053</t>
  </si>
  <si>
    <t>Chioma Akpotha</t>
  </si>
  <si>
    <t>Skirts</t>
  </si>
  <si>
    <t>NG-10054</t>
  </si>
  <si>
    <t>Finidi George</t>
  </si>
  <si>
    <t>NG-10055</t>
  </si>
  <si>
    <t>Nura Muhammad</t>
  </si>
  <si>
    <t>Tea Bags (100pk)</t>
  </si>
  <si>
    <t>NG-10056</t>
  </si>
  <si>
    <t>Don Jazzy</t>
  </si>
  <si>
    <t>Keyboard</t>
  </si>
  <si>
    <t>NG-10057</t>
  </si>
  <si>
    <t>Kate Henshaw</t>
  </si>
  <si>
    <t>Pajamas</t>
  </si>
  <si>
    <t>NG-10058</t>
  </si>
  <si>
    <t>Goodluck Ebele</t>
  </si>
  <si>
    <t>Office Desk</t>
  </si>
  <si>
    <t>NG-10059</t>
  </si>
  <si>
    <t>Zuwaira Ibrahim</t>
  </si>
  <si>
    <t>Onions (1kg)</t>
  </si>
  <si>
    <t>NG-10060</t>
  </si>
  <si>
    <t>Fireboy DML</t>
  </si>
  <si>
    <t>Mouse</t>
  </si>
  <si>
    <t>NG-10061</t>
  </si>
  <si>
    <t>Nyesom Wike</t>
  </si>
  <si>
    <t>Ties</t>
  </si>
  <si>
    <t>NG-10062</t>
  </si>
  <si>
    <t>Rita Dominic</t>
  </si>
  <si>
    <t>Bed Frame</t>
  </si>
  <si>
    <t>NG-10063</t>
  </si>
  <si>
    <t>Sadiq Umar</t>
  </si>
  <si>
    <t>Corn Flakes (500g)</t>
  </si>
  <si>
    <t>NG-10064</t>
  </si>
  <si>
    <t>Tiwa Savage</t>
  </si>
  <si>
    <t>Camera</t>
  </si>
  <si>
    <t>NG-10065</t>
  </si>
  <si>
    <t>Mercy Johnson</t>
  </si>
  <si>
    <t>Bags</t>
  </si>
  <si>
    <t>NG-10066</t>
  </si>
  <si>
    <t>Rabi Isah</t>
  </si>
  <si>
    <t>Spaghetti (500g)</t>
  </si>
  <si>
    <t>NG-10067</t>
  </si>
  <si>
    <t>Burna Boy</t>
  </si>
  <si>
    <t>Microphone</t>
  </si>
  <si>
    <t>NG-10068</t>
  </si>
  <si>
    <t>Genevieve Nnaji</t>
  </si>
  <si>
    <t>Dressing Table</t>
  </si>
  <si>
    <t>NG-10069</t>
  </si>
  <si>
    <t>Enoch Adeboye</t>
  </si>
  <si>
    <t>Suits</t>
  </si>
  <si>
    <t>NG-10070</t>
  </si>
  <si>
    <t>Abdullahi Ganduje</t>
  </si>
  <si>
    <t>Garri (2kg)</t>
  </si>
  <si>
    <t>NG-10071</t>
  </si>
  <si>
    <t>Jide Kosoko</t>
  </si>
  <si>
    <t>Projector</t>
  </si>
  <si>
    <t>NG-10072</t>
  </si>
  <si>
    <t>Peter Obi</t>
  </si>
  <si>
    <t>Underwear</t>
  </si>
  <si>
    <t>NG-10073</t>
  </si>
  <si>
    <t>Benedict Ayade</t>
  </si>
  <si>
    <t>Cabinets</t>
  </si>
  <si>
    <t>NG-10074</t>
  </si>
  <si>
    <t>Aisha Aliyu</t>
  </si>
  <si>
    <t>Semovita (1kg)</t>
  </si>
  <si>
    <t>NG-10075</t>
  </si>
  <si>
    <t>Cee-C</t>
  </si>
  <si>
    <t>Fitness Tracker</t>
  </si>
  <si>
    <t>NG-10076</t>
  </si>
  <si>
    <t>Ruth Kadiri</t>
  </si>
  <si>
    <t>Sunglasses</t>
  </si>
  <si>
    <t>NG-10077</t>
  </si>
  <si>
    <t>Bashir Tofa</t>
  </si>
  <si>
    <t>Honey (500ml)</t>
  </si>
  <si>
    <t>NG-10078</t>
  </si>
  <si>
    <t>Yemi Alade</t>
  </si>
  <si>
    <t>Nightstand</t>
  </si>
  <si>
    <t>NG-10079</t>
  </si>
  <si>
    <t>Okechukwu Okonkwo</t>
  </si>
  <si>
    <t>Extension Cord</t>
  </si>
  <si>
    <t>NG-10080</t>
  </si>
  <si>
    <t>Ibinabo Fiberesima</t>
  </si>
  <si>
    <t>Kimono</t>
  </si>
  <si>
    <t>NG-10081</t>
  </si>
  <si>
    <t>Binta Musa</t>
  </si>
  <si>
    <t>Sausages</t>
  </si>
  <si>
    <t>NG-10082</t>
  </si>
  <si>
    <t>Patoranking</t>
  </si>
  <si>
    <t>Drone</t>
  </si>
  <si>
    <t>NG-10083</t>
  </si>
  <si>
    <t>Nkem Owoh</t>
  </si>
  <si>
    <t>Shoe Rack</t>
  </si>
  <si>
    <t>NG-10084</t>
  </si>
  <si>
    <t>Seriake Dickson</t>
  </si>
  <si>
    <t>Belts</t>
  </si>
  <si>
    <t>NG-10085</t>
  </si>
  <si>
    <t>Gambo Sani</t>
  </si>
  <si>
    <t>Peanuts (500g)</t>
  </si>
  <si>
    <t>NG-10086</t>
  </si>
  <si>
    <t>Rema</t>
  </si>
  <si>
    <t>Smart Bulb</t>
  </si>
  <si>
    <t>NG-10087</t>
  </si>
  <si>
    <t>Chinedu Ikedieze</t>
  </si>
  <si>
    <t>Wall Shelf</t>
  </si>
  <si>
    <t>NG-10088</t>
  </si>
  <si>
    <t>Ireti Doyle</t>
  </si>
  <si>
    <t>Scarves</t>
  </si>
  <si>
    <t>NG-10089</t>
  </si>
  <si>
    <t>Nasir El-Rufai</t>
  </si>
  <si>
    <t>Indomie Noodles</t>
  </si>
  <si>
    <t>NG-10090</t>
  </si>
  <si>
    <t>Asake</t>
  </si>
  <si>
    <t>VR Headset</t>
  </si>
  <si>
    <t>NG-10091</t>
  </si>
  <si>
    <t>Osita Iheme</t>
  </si>
  <si>
    <t>Plant Stand</t>
  </si>
  <si>
    <t>NG-10092</t>
  </si>
  <si>
    <t>Omotola Jalade</t>
  </si>
  <si>
    <t>Leggings</t>
  </si>
  <si>
    <t>NG-10093</t>
  </si>
  <si>
    <t>Hadiza Bala</t>
  </si>
  <si>
    <t>Custard (500g)</t>
  </si>
  <si>
    <t>NG-10094</t>
  </si>
  <si>
    <t>Banky W</t>
  </si>
  <si>
    <t>Portable SSD</t>
  </si>
  <si>
    <t>NG-10095</t>
  </si>
  <si>
    <t>Chiwetalu Agu</t>
  </si>
  <si>
    <t>Magazine Rack</t>
  </si>
  <si>
    <t>NG-10096</t>
  </si>
  <si>
    <t>Patience Jonathan</t>
  </si>
  <si>
    <t>Caps</t>
  </si>
  <si>
    <t>NG-10097</t>
  </si>
  <si>
    <t>Tanko Yakasai</t>
  </si>
  <si>
    <t>Potato (1kg)</t>
  </si>
  <si>
    <t>NG-10098</t>
  </si>
  <si>
    <t>Layi Wasabi</t>
  </si>
  <si>
    <t>Calculator</t>
  </si>
  <si>
    <t>NG-10099</t>
  </si>
  <si>
    <t>Sam Loco</t>
  </si>
  <si>
    <t>Tank Tops</t>
  </si>
  <si>
    <t>NG-10100</t>
  </si>
  <si>
    <t>Donald Duke</t>
  </si>
  <si>
    <t>Floor Lamp</t>
  </si>
  <si>
    <t>NG-10101</t>
  </si>
  <si>
    <t>Magaji Dambatta</t>
  </si>
  <si>
    <t>Coconut Oil (500ml)</t>
  </si>
  <si>
    <t>NG-10102</t>
  </si>
  <si>
    <t>Naira Marley</t>
  </si>
  <si>
    <t>Phone Case</t>
  </si>
  <si>
    <t>NG-10103</t>
  </si>
  <si>
    <t>Ini Edo</t>
  </si>
  <si>
    <t>Cardigans</t>
  </si>
  <si>
    <t>NG-10104</t>
  </si>
  <si>
    <t>Charly Boy</t>
  </si>
  <si>
    <t>Bean Bag</t>
  </si>
  <si>
    <t>NG-10105</t>
  </si>
  <si>
    <t>Jaafar Jaafar</t>
  </si>
  <si>
    <t>Yogurt (1L)</t>
  </si>
  <si>
    <t>NG-10106</t>
  </si>
  <si>
    <t>Mr Eazi</t>
  </si>
  <si>
    <t>Screen Protector</t>
  </si>
  <si>
    <t>NG-10107</t>
  </si>
  <si>
    <t>Zack Orji</t>
  </si>
  <si>
    <t>Tuxedos</t>
  </si>
  <si>
    <t>NG-10108</t>
  </si>
  <si>
    <t>Richard Mofe-Damijo</t>
  </si>
  <si>
    <t>Bar Stool</t>
  </si>
  <si>
    <t>NG-10109</t>
  </si>
  <si>
    <t>Rabiu Kwankwaso</t>
  </si>
  <si>
    <t>Chocolate Spread</t>
  </si>
  <si>
    <t>NG-10110</t>
  </si>
  <si>
    <t>Mayorkun</t>
  </si>
  <si>
    <t>HDMI Cable</t>
  </si>
  <si>
    <t>NG-10111</t>
  </si>
  <si>
    <t>Viola Onwuliri</t>
  </si>
  <si>
    <t>Gloves</t>
  </si>
  <si>
    <t>NG-10112</t>
  </si>
  <si>
    <t>Rotimi Amaechi</t>
  </si>
  <si>
    <t>Wall Art</t>
  </si>
  <si>
    <t>NG-10113</t>
  </si>
  <si>
    <t>Hannatu Musawa</t>
  </si>
  <si>
    <t>Biscuit Pack</t>
  </si>
  <si>
    <t>NG-10114</t>
  </si>
  <si>
    <t>9ice</t>
  </si>
  <si>
    <t>Adapter</t>
  </si>
  <si>
    <t>NG-10115</t>
  </si>
  <si>
    <t>Olu Jacobs</t>
  </si>
  <si>
    <t>Vests</t>
  </si>
  <si>
    <t>NG-10116</t>
  </si>
  <si>
    <t>Liyel Imoke</t>
  </si>
  <si>
    <t>Welcome Mat</t>
  </si>
  <si>
    <t>NG-10117</t>
  </si>
  <si>
    <t>Sani Abacha</t>
  </si>
  <si>
    <t>Canned Beans</t>
  </si>
  <si>
    <t>NG-10118</t>
  </si>
  <si>
    <t>Teni</t>
  </si>
  <si>
    <t>USB Hub</t>
  </si>
  <si>
    <t>NG-10119</t>
  </si>
  <si>
    <t>John Okafor</t>
  </si>
  <si>
    <t>Bow Ties</t>
  </si>
  <si>
    <t>NG-10120</t>
  </si>
  <si>
    <t>Stephanie Okereke</t>
  </si>
  <si>
    <t>Clothes Hamper</t>
  </si>
  <si>
    <t>NG-10121</t>
  </si>
  <si>
    <t>Rilwanu Lukman</t>
  </si>
  <si>
    <t>Soya Milk (1L)</t>
  </si>
  <si>
    <t>NG-10122</t>
  </si>
  <si>
    <t>Joeboy</t>
  </si>
  <si>
    <t>Laptop Stand</t>
  </si>
  <si>
    <t>NG-10123</t>
  </si>
  <si>
    <t>Ebelle Okaro</t>
  </si>
  <si>
    <t>Booties</t>
  </si>
  <si>
    <t>NG-10124</t>
  </si>
  <si>
    <t>Garba Shehu</t>
  </si>
  <si>
    <t>Sardines</t>
  </si>
  <si>
    <t>NG-10125</t>
  </si>
  <si>
    <t>Brymo</t>
  </si>
  <si>
    <t>Webcam Cover</t>
  </si>
  <si>
    <t>NG-10126</t>
  </si>
  <si>
    <t>Aki and Pawpaw</t>
  </si>
  <si>
    <t>Playpen</t>
  </si>
  <si>
    <t>NG-10127</t>
  </si>
  <si>
    <t>Timipre Sylva</t>
  </si>
  <si>
    <t>Aprons</t>
  </si>
  <si>
    <t>NG-10128</t>
  </si>
  <si>
    <t>Lawal Daura</t>
  </si>
  <si>
    <t>Palm Oil (1L)</t>
  </si>
  <si>
    <t>NG-10129</t>
  </si>
  <si>
    <t>Cobhams Asuquo</t>
  </si>
  <si>
    <t>Braille Display</t>
  </si>
  <si>
    <t>NG-10130</t>
  </si>
  <si>
    <t>Pete Edochie</t>
  </si>
  <si>
    <t>Agbada</t>
  </si>
  <si>
    <t>NG-10131</t>
  </si>
  <si>
    <t>Kelechi Amadi</t>
  </si>
  <si>
    <t>Pet Bed</t>
  </si>
  <si>
    <t>NG-10132</t>
  </si>
  <si>
    <t>Aminu Kano</t>
  </si>
  <si>
    <t>Ginger Powder</t>
  </si>
  <si>
    <t>NG-10133</t>
  </si>
  <si>
    <t>Falz</t>
  </si>
  <si>
    <t>Soundbar</t>
  </si>
  <si>
    <t>NG-10134</t>
  </si>
  <si>
    <t>Kanayo O Kanayo</t>
  </si>
  <si>
    <t>Cravats</t>
  </si>
  <si>
    <t>NG-10135</t>
  </si>
  <si>
    <t>Jennifer Eliogu</t>
  </si>
  <si>
    <t>Key Holder</t>
  </si>
  <si>
    <t>NG-10136</t>
  </si>
  <si>
    <t>Magaji Danbatta</t>
  </si>
  <si>
    <t>Chili Sauce</t>
  </si>
  <si>
    <t>NG-10137</t>
  </si>
  <si>
    <t>Small Doctor</t>
  </si>
  <si>
    <t>Selfie Stick</t>
  </si>
  <si>
    <t>NG-10138</t>
  </si>
  <si>
    <t>Osinachi Kalu</t>
  </si>
  <si>
    <t>Slippers</t>
  </si>
  <si>
    <t>NG-10139</t>
  </si>
  <si>
    <t>Nafisa Abdullahi</t>
  </si>
  <si>
    <t>Cake Mix</t>
  </si>
  <si>
    <t>NG-10140</t>
  </si>
  <si>
    <t>Chinko Ekun</t>
  </si>
  <si>
    <t>TV Remote</t>
  </si>
  <si>
    <t>NG-10141</t>
  </si>
  <si>
    <t>Chika Chukwu</t>
  </si>
  <si>
    <t>Coat Rack</t>
  </si>
  <si>
    <t>NG-10142</t>
  </si>
  <si>
    <t>Beti Oku</t>
  </si>
  <si>
    <t>Hand Fans</t>
  </si>
  <si>
    <t>NG-10143</t>
  </si>
  <si>
    <t>Binta Garba</t>
  </si>
  <si>
    <t>Popcorn Kernels</t>
  </si>
  <si>
    <t>NG-10144</t>
  </si>
  <si>
    <t>Qdot</t>
  </si>
  <si>
    <t>Gaming Chair</t>
  </si>
  <si>
    <t>NG-10145</t>
  </si>
  <si>
    <t>Chacha Eke</t>
  </si>
  <si>
    <t>Ponchos</t>
  </si>
  <si>
    <t>NG-10146</t>
  </si>
  <si>
    <t>John Dumelo</t>
  </si>
  <si>
    <t>Vanity Mirror</t>
  </si>
  <si>
    <t>NG-10147</t>
  </si>
  <si>
    <t>Sadiya Farouq</t>
  </si>
  <si>
    <t>Lentils (1kg)</t>
  </si>
  <si>
    <t>NG-10148</t>
  </si>
  <si>
    <t>Bovi</t>
  </si>
  <si>
    <t>Desk Lamp</t>
  </si>
  <si>
    <t>NG-10149</t>
  </si>
  <si>
    <t>Nedu Wazobia</t>
  </si>
  <si>
    <t>Face Masks</t>
  </si>
  <si>
    <t>NG-10150</t>
  </si>
  <si>
    <t>Vera Sidika</t>
  </si>
  <si>
    <t>Fireplace</t>
  </si>
  <si>
    <t>NG-10151</t>
  </si>
  <si>
    <t>Yusuf Bichi</t>
  </si>
  <si>
    <t>Cereal Bars</t>
  </si>
  <si>
    <t>NG-10152</t>
  </si>
  <si>
    <t>Spyro</t>
  </si>
  <si>
    <t>Cable Organizer</t>
  </si>
  <si>
    <t>NG-10153</t>
  </si>
  <si>
    <t>Ruth Okonkwo</t>
  </si>
  <si>
    <t>Tracksuits</t>
  </si>
  <si>
    <t>NG-10154</t>
  </si>
  <si>
    <t>Bello Matawalle</t>
  </si>
  <si>
    <t>Pepper (ground)</t>
  </si>
  <si>
    <t>NG-10155</t>
  </si>
  <si>
    <t>Simi</t>
  </si>
  <si>
    <t>Battery Pack</t>
  </si>
  <si>
    <t>NG-10156</t>
  </si>
  <si>
    <t>Chidi Mokeme</t>
  </si>
  <si>
    <t>Air Purifier</t>
  </si>
  <si>
    <t>NG-10157</t>
  </si>
  <si>
    <t>Jesse Jagz</t>
  </si>
  <si>
    <t>Raincoat</t>
  </si>
  <si>
    <t>NG-10158</t>
  </si>
  <si>
    <t>Rukayya Tijjani</t>
  </si>
  <si>
    <t>Dried Fish</t>
  </si>
  <si>
    <t>NG-10159</t>
  </si>
  <si>
    <t>Seyi Shay</t>
  </si>
  <si>
    <t>Digital Scale</t>
  </si>
  <si>
    <t>NG-10160</t>
  </si>
  <si>
    <t>Yul Edochie</t>
  </si>
  <si>
    <t>Biker Jacket</t>
  </si>
  <si>
    <t>NG-10161</t>
  </si>
  <si>
    <t>Diepreye Alamie</t>
  </si>
  <si>
    <t>Hammock</t>
  </si>
  <si>
    <t>NG-10162</t>
  </si>
  <si>
    <t>Surajo Aliyu</t>
  </si>
  <si>
    <t>Coffee Beans</t>
  </si>
  <si>
    <t>NG-10163</t>
  </si>
  <si>
    <t>Adekunle Ayeni</t>
  </si>
  <si>
    <t>Tripod</t>
  </si>
  <si>
    <t>NG-10164</t>
  </si>
  <si>
    <t>Chimezie Ike</t>
  </si>
  <si>
    <t>Leather Pants</t>
  </si>
  <si>
    <t>NG-10165</t>
  </si>
  <si>
    <t>Becca Okoye</t>
  </si>
  <si>
    <t>Laundry Basket</t>
  </si>
  <si>
    <t>NG-10166</t>
  </si>
  <si>
    <t>Bilyaminu Usman</t>
  </si>
  <si>
    <t>Margarine</t>
  </si>
  <si>
    <t>NG-10167</t>
  </si>
  <si>
    <t>Lyta</t>
  </si>
  <si>
    <t>Clock Radio</t>
  </si>
  <si>
    <t>NG-10168</t>
  </si>
  <si>
    <t>Somkele Idhalama</t>
  </si>
  <si>
    <t>Overall</t>
  </si>
  <si>
    <t>NG-10169</t>
  </si>
  <si>
    <t>Michelle Dede</t>
  </si>
  <si>
    <t>Wine Rack</t>
  </si>
  <si>
    <t>NG-10170</t>
  </si>
  <si>
    <t>Fatima Ganduje</t>
  </si>
  <si>
    <t>Turmeric Powder</t>
  </si>
  <si>
    <t>NG-10171</t>
  </si>
  <si>
    <t>Broda Shaggi</t>
  </si>
  <si>
    <t>Phone Stand</t>
  </si>
  <si>
    <t>NG-10172</t>
  </si>
  <si>
    <t>Alexx Ekubo</t>
  </si>
  <si>
    <t>Suspenders</t>
  </si>
  <si>
    <t>NG-10173</t>
  </si>
  <si>
    <t>Ibinabo Jack</t>
  </si>
  <si>
    <t>Footstool</t>
  </si>
  <si>
    <t>NG-10174</t>
  </si>
  <si>
    <t>Ahmadu Bello</t>
  </si>
  <si>
    <t>Pita Bread</t>
  </si>
  <si>
    <t>NG-10175</t>
  </si>
  <si>
    <t>Shaffy Bello</t>
  </si>
  <si>
    <t>Fan</t>
  </si>
  <si>
    <t>NG-10176</t>
  </si>
  <si>
    <t>Nonso Diobi</t>
  </si>
  <si>
    <t>Kaftans</t>
  </si>
  <si>
    <t>NG-10177</t>
  </si>
  <si>
    <t>Florence Ita-Giwa</t>
  </si>
  <si>
    <t>Chandelier</t>
  </si>
  <si>
    <t>NG-10178</t>
  </si>
  <si>
    <t>Aliyu Wamakko</t>
  </si>
  <si>
    <t>Vanilla Extract</t>
  </si>
  <si>
    <t>NG-10179</t>
  </si>
  <si>
    <t>KCee</t>
  </si>
  <si>
    <t>Graphics Tablet</t>
  </si>
  <si>
    <t>NG-10180</t>
  </si>
  <si>
    <t>Chineyere Eze</t>
  </si>
  <si>
    <t>Leotards</t>
  </si>
  <si>
    <t>NG-10181</t>
  </si>
  <si>
    <t>Omoni Oboli</t>
  </si>
  <si>
    <t>Wall Clock</t>
  </si>
  <si>
    <t>NG-10182</t>
  </si>
  <si>
    <t>Suleiman Abba</t>
  </si>
  <si>
    <t>Cashews</t>
  </si>
  <si>
    <t>NG-10183</t>
  </si>
  <si>
    <t>Zlatan</t>
  </si>
  <si>
    <t>Video Light</t>
  </si>
  <si>
    <t>NG-10184</t>
  </si>
  <si>
    <t>Uche Odoputa</t>
  </si>
  <si>
    <t>Rompers</t>
  </si>
  <si>
    <t>NG-10185</t>
  </si>
  <si>
    <t>Clem Ohameze</t>
  </si>
  <si>
    <t>Pet Crate</t>
  </si>
  <si>
    <t>NG-10186</t>
  </si>
  <si>
    <t>Hafsat Abiola</t>
  </si>
  <si>
    <t>BBQ Sauce</t>
  </si>
  <si>
    <t>NG-10187</t>
  </si>
  <si>
    <t>Peruzzi</t>
  </si>
  <si>
    <t>Airpods Clone</t>
  </si>
  <si>
    <t>NG-10188</t>
  </si>
  <si>
    <t>Jennifer Ugwu</t>
  </si>
  <si>
    <t>Flannel Shirt</t>
  </si>
  <si>
    <t>NG-10189</t>
  </si>
  <si>
    <t>George Beke</t>
  </si>
  <si>
    <t>Storage Ottoman</t>
  </si>
  <si>
    <t>NG-10190</t>
  </si>
  <si>
    <t>Rakiya Gambo</t>
  </si>
  <si>
    <t>Plantain Chips</t>
  </si>
  <si>
    <t>NG-10191</t>
  </si>
  <si>
    <t>Reekado Banks</t>
  </si>
  <si>
    <t>Bluetooth Tracker</t>
  </si>
  <si>
    <t>NG-10192</t>
  </si>
  <si>
    <t>Monalisa Chinda</t>
  </si>
  <si>
    <t>Polo Dress</t>
  </si>
  <si>
    <t>NG-10193</t>
  </si>
  <si>
    <t>Henry Seriake</t>
  </si>
  <si>
    <t>Bean Bag Chair</t>
  </si>
  <si>
    <t>NG-10194</t>
  </si>
  <si>
    <t>Mujahid Dokubo</t>
  </si>
  <si>
    <t>Whipped Cream</t>
  </si>
  <si>
    <t>NG-10195</t>
  </si>
  <si>
    <t>Oxlade</t>
  </si>
  <si>
    <t>Smart Plug</t>
  </si>
  <si>
    <t>NG-10196</t>
  </si>
  <si>
    <t>Mary Njoku</t>
  </si>
  <si>
    <t>Jumpsuit</t>
  </si>
  <si>
    <t>NG-10197</t>
  </si>
  <si>
    <t>King Waidi</t>
  </si>
  <si>
    <t>Magazine Sub</t>
  </si>
  <si>
    <t>NG-10198</t>
  </si>
  <si>
    <t>Lawan Musa</t>
  </si>
  <si>
    <t>Jam Jar</t>
  </si>
  <si>
    <t>NG-10199</t>
  </si>
  <si>
    <t>Bella Shmurda</t>
  </si>
  <si>
    <t>Cooling Pad</t>
  </si>
  <si>
    <t>NG-10200</t>
  </si>
  <si>
    <t>Ebere Okaro</t>
  </si>
  <si>
    <t>Hoodies</t>
  </si>
  <si>
    <t>NG-10201</t>
  </si>
  <si>
    <t>iPhone 15 Pro Max</t>
  </si>
  <si>
    <t>NG-10202</t>
  </si>
  <si>
    <t>Gucci Belt Replica</t>
  </si>
  <si>
    <t>NG-10203</t>
  </si>
  <si>
    <t>Frozen Chicken (crate)</t>
  </si>
  <si>
    <t>NG-10204</t>
  </si>
  <si>
    <t>Executive Leather Sofa</t>
  </si>
  <si>
    <t>NG-10205</t>
  </si>
  <si>
    <t>Gaming Laptop RTX 4090</t>
  </si>
  <si>
    <t>NG-10206</t>
  </si>
  <si>
    <t>Custom Wedding Gown</t>
  </si>
  <si>
    <t>NG-10207</t>
  </si>
  <si>
    <t>Goat (whole)</t>
  </si>
  <si>
    <t>NG-10208</t>
  </si>
  <si>
    <t>PS5 Console</t>
  </si>
  <si>
    <t>NG-10209</t>
  </si>
  <si>
    <t>Massage Chair</t>
  </si>
  <si>
    <t>NG-10210</t>
  </si>
  <si>
    <t>Designer Handbag (Original)</t>
  </si>
  <si>
    <t>NG-10211</t>
  </si>
  <si>
    <t>Cow (whole)</t>
  </si>
  <si>
    <t>NG-10212</t>
  </si>
  <si>
    <t>Solar Inverter 5KVA</t>
  </si>
  <si>
    <t>NG-10213</t>
  </si>
  <si>
    <t>Crocs Bulk</t>
  </si>
  <si>
    <t>NG-10214</t>
  </si>
  <si>
    <t>Sectional Sofa</t>
  </si>
  <si>
    <t>NG-10215</t>
  </si>
  <si>
    <t>Cooking Gas Cylinder (12.5kg)</t>
  </si>
  <si>
    <t>NG-10216</t>
  </si>
  <si>
    <t>MacBook Pro M3</t>
  </si>
  <si>
    <t>NG-10217</t>
  </si>
  <si>
    <t>Native Senator Wear</t>
  </si>
  <si>
    <t>NG-10218</t>
  </si>
  <si>
    <t>Semovita (50kg bag)</t>
  </si>
  <si>
    <t>NG-10219</t>
  </si>
  <si>
    <t>King Size Bed Frame</t>
  </si>
  <si>
    <t>NG-10220</t>
  </si>
  <si>
    <t>Air Conditioner 1.5HP</t>
  </si>
  <si>
    <t>NG-10221</t>
  </si>
  <si>
    <t>School Uniforms (bulk)</t>
  </si>
  <si>
    <t>NG-10222</t>
  </si>
  <si>
    <t>Yam Tuber (per crate)</t>
  </si>
  <si>
    <t>NG-10223</t>
  </si>
  <si>
    <t>Office Cubicle Set</t>
  </si>
  <si>
    <t>NG-10224</t>
  </si>
  <si>
    <t>Generator 2.5KVA</t>
  </si>
  <si>
    <t>NG-10225</t>
  </si>
  <si>
    <t>Rainboots</t>
  </si>
  <si>
    <t>NG-10226</t>
  </si>
  <si>
    <t>Palm Oil (25L keg)</t>
  </si>
  <si>
    <t>NG-10227</t>
  </si>
  <si>
    <t>CCTV Camera Kit</t>
  </si>
  <si>
    <t>NG-10228</t>
  </si>
  <si>
    <t>Sequin Party Gowns</t>
  </si>
  <si>
    <t>NG-10229</t>
  </si>
  <si>
    <t>Folding Dining Table</t>
  </si>
  <si>
    <t>NG-10230</t>
  </si>
  <si>
    <t>Fresh Tomatoes (crate)</t>
  </si>
  <si>
    <t>NG-10231</t>
  </si>
  <si>
    <t>Portable Bluetooth Speaker (JBL)</t>
  </si>
  <si>
    <t>NG-10232</t>
  </si>
  <si>
    <t>Traditional Beads (bulk)</t>
  </si>
  <si>
    <t>NG-10233</t>
  </si>
  <si>
    <t>Onions (50kg bag)</t>
  </si>
  <si>
    <t>NG-10234</t>
  </si>
  <si>
    <t>Makeup Vanity with Lights</t>
  </si>
  <si>
    <t>NG-10235</t>
  </si>
  <si>
    <t>Power Bank 50000mAh</t>
  </si>
  <si>
    <t>NG-10236</t>
  </si>
  <si>
    <t>Ankara Fabrics (6 yards)</t>
  </si>
  <si>
    <t>NG-10237</t>
  </si>
  <si>
    <t>Vegetable Oil (25L keg)</t>
  </si>
  <si>
    <t>NG-10238</t>
  </si>
  <si>
    <t>Tesla Phone (fake)</t>
  </si>
  <si>
    <t>NG-10239</t>
  </si>
  <si>
    <t>Crib for Twins</t>
  </si>
  <si>
    <t>NG-10240</t>
  </si>
  <si>
    <t>Garri (Ihutech 50kg)</t>
  </si>
  <si>
    <t>NG-10241</t>
  </si>
  <si>
    <t>Batakari (Fugu)</t>
  </si>
  <si>
    <t>NG-10242</t>
  </si>
  <si>
    <t>Smart TV 65 inch</t>
  </si>
  <si>
    <t>NG-10243</t>
  </si>
  <si>
    <t>Kilishi (spiced meat)</t>
  </si>
  <si>
    <t>NG-10244</t>
  </si>
  <si>
    <t>Wall-mounted Bookshelf</t>
  </si>
  <si>
    <t>NG-10245</t>
  </si>
  <si>
    <t>Samsung Galaxy Z Fold 6</t>
  </si>
  <si>
    <t>NG-10246</t>
  </si>
  <si>
    <t>Wedding Aso Ebi (100 pieces)</t>
  </si>
  <si>
    <t>NG-10247</t>
  </si>
  <si>
    <t>Fura da Nono (ready-to-drink)</t>
  </si>
  <si>
    <t>NG-10248</t>
  </si>
  <si>
    <t>Home Theatre System</t>
  </si>
  <si>
    <t>NG-10249</t>
  </si>
  <si>
    <t>Study Table with Drawer</t>
  </si>
  <si>
    <t>NG-10250</t>
  </si>
  <si>
    <t>Cowboy Hats</t>
  </si>
  <si>
    <t>NG-10251</t>
  </si>
  <si>
    <t>Groundnut (sack)</t>
  </si>
  <si>
    <t>NG-10252</t>
  </si>
  <si>
    <t>Drone with Camera</t>
  </si>
  <si>
    <t>NG-10253</t>
  </si>
  <si>
    <t>Leather Sandals (bulk)</t>
  </si>
  <si>
    <t>NG-10254</t>
  </si>
  <si>
    <t>Patio Umbrella</t>
  </si>
  <si>
    <t>NG-10255</t>
  </si>
  <si>
    <t>Milk Powder (25kg)</t>
  </si>
  <si>
    <t>NG-10256</t>
  </si>
  <si>
    <t>Studio Headphones</t>
  </si>
  <si>
    <t>NG-10257</t>
  </si>
  <si>
    <t>Maternity Dresses</t>
  </si>
  <si>
    <t>NG-10258</t>
  </si>
  <si>
    <t>Outdoor Rocking Chair</t>
  </si>
  <si>
    <t>NG-10259</t>
  </si>
  <si>
    <t>Sugar (50kg bag)</t>
  </si>
  <si>
    <t>NG-10260</t>
  </si>
  <si>
    <t>Mechanical Keyboard</t>
  </si>
  <si>
    <t>NG-10261</t>
  </si>
  <si>
    <t>Police Uniform (illegal)</t>
  </si>
  <si>
    <t>NG-10262</t>
  </si>
  <si>
    <t>Makeup Storage Drawer</t>
  </si>
  <si>
    <t>NG-10263</t>
  </si>
  <si>
    <t>Corn Flakes (wholesale pack)</t>
  </si>
  <si>
    <t>NG-10264</t>
  </si>
  <si>
    <t>Smartwatch Ultra</t>
  </si>
  <si>
    <t>NG-10265</t>
  </si>
  <si>
    <t>Swimsuits</t>
  </si>
  <si>
    <t>NG-10266</t>
  </si>
  <si>
    <t>Spaghetti (carton)</t>
  </si>
  <si>
    <t>NG-10267</t>
  </si>
  <si>
    <t>Portable Generator (solar)</t>
  </si>
  <si>
    <t>NG-10268</t>
  </si>
  <si>
    <t>Divider Screen</t>
  </si>
  <si>
    <t>NG-10269</t>
  </si>
  <si>
    <t>Bible Cover (leather)</t>
  </si>
  <si>
    <t>NG-10270</t>
  </si>
  <si>
    <t>Rice (50kg bag)</t>
  </si>
  <si>
    <t>NG-10271</t>
  </si>
  <si>
    <t>Webcam 4K</t>
  </si>
  <si>
    <t>NG-10272</t>
  </si>
  <si>
    <t>Okrika Jeans (bale)</t>
  </si>
  <si>
    <t>NG-10273</t>
  </si>
  <si>
    <t>Wall Clock (luxury)</t>
  </si>
  <si>
    <t>NG-10274</t>
  </si>
  <si>
    <t>Peak Milk Tin</t>
  </si>
  <si>
    <t>NG-10275</t>
  </si>
  <si>
    <t>DJI Mini Drone</t>
  </si>
  <si>
    <t>NG-10276</t>
  </si>
  <si>
    <t>Corset Tops</t>
  </si>
  <si>
    <t>NG-10277</t>
  </si>
  <si>
    <t>Honey (5L bucket)</t>
  </si>
  <si>
    <t>NG-10278</t>
  </si>
  <si>
    <t>Gaming Desk</t>
  </si>
  <si>
    <t>NG-10279</t>
  </si>
  <si>
    <t>Router Mesh System</t>
  </si>
  <si>
    <t>NG-10280</t>
  </si>
  <si>
    <t>Sequin Skirt</t>
  </si>
  <si>
    <t>NG-10281</t>
  </si>
  <si>
    <t>Crayfish (5kg)</t>
  </si>
  <si>
    <t>NG-10282</t>
  </si>
  <si>
    <t>Smart Ring</t>
  </si>
  <si>
    <t>NG-10283</t>
  </si>
  <si>
    <t>Plastic Chair (dozen)</t>
  </si>
  <si>
    <t>NG-10284</t>
  </si>
  <si>
    <t>Fishing Boots</t>
  </si>
  <si>
    <t>NG-10285</t>
  </si>
  <si>
    <t>Dried Pepper (sack)</t>
  </si>
  <si>
    <t>NG-10286</t>
  </si>
  <si>
    <t>Smart Light Strip</t>
  </si>
  <si>
    <t>NG-10287</t>
  </si>
  <si>
    <t>Children's Study Desk</t>
  </si>
  <si>
    <t>NG-10288</t>
  </si>
  <si>
    <t>Headwrap (gele)</t>
  </si>
  <si>
    <t>NG-10289</t>
  </si>
  <si>
    <t>Broken Rice (50kg)</t>
  </si>
  <si>
    <t>NG-10290</t>
  </si>
  <si>
    <t>Phone Cooler</t>
  </si>
  <si>
    <t>NG-10291</t>
  </si>
  <si>
    <t>Plastic Drawer Unit</t>
  </si>
  <si>
    <t>NG-10292</t>
  </si>
  <si>
    <t>Kimono Robe</t>
  </si>
  <si>
    <t>NG-10293</t>
  </si>
  <si>
    <t>Yogurt Drink (carton)</t>
  </si>
  <si>
    <t>NG-10294</t>
  </si>
  <si>
    <t>USB-C Hub</t>
  </si>
  <si>
    <t>NG-10295</t>
  </si>
  <si>
    <t>Wooden Stool</t>
  </si>
  <si>
    <t>NG-10296</t>
  </si>
  <si>
    <t>Evening Gown</t>
  </si>
  <si>
    <t>NG-10297</t>
  </si>
  <si>
    <t>Maize (50kg bag)</t>
  </si>
  <si>
    <t>NG-10298</t>
  </si>
  <si>
    <t>Cable Ties</t>
  </si>
  <si>
    <t>NG-10299</t>
  </si>
  <si>
    <t>Bowler Hat</t>
  </si>
  <si>
    <t>NG-10300</t>
  </si>
  <si>
    <t>Bamboo Shelf</t>
  </si>
  <si>
    <t>NG-10301</t>
  </si>
  <si>
    <t>Wheat Flour (50kg)</t>
  </si>
  <si>
    <t>NG-10302</t>
  </si>
  <si>
    <t>Fake AirPods Max</t>
  </si>
  <si>
    <t>NG-10303</t>
  </si>
  <si>
    <t>Surgical Mask (bulk)</t>
  </si>
  <si>
    <t>NG-10304</t>
  </si>
  <si>
    <t>Revolving Chair</t>
  </si>
  <si>
    <t>NG-10305</t>
  </si>
  <si>
    <t>Soya Beans (bag)</t>
  </si>
  <si>
    <t>NG-10306</t>
  </si>
  <si>
    <t>Screen Cleaning Kit</t>
  </si>
  <si>
    <t>NG-10307</t>
  </si>
  <si>
    <t>Agogo (traditional hat)</t>
  </si>
  <si>
    <t>NG-10308</t>
  </si>
  <si>
    <t>Glass Center Table</t>
  </si>
  <si>
    <t>NG-10309</t>
  </si>
  <si>
    <t>Golden Morn (carton)</t>
  </si>
  <si>
    <t>NG-10310</t>
  </si>
  <si>
    <t>Selfie Ring Light</t>
  </si>
  <si>
    <t>NG-10311</t>
  </si>
  <si>
    <t>Church Hat (fascinator)</t>
  </si>
  <si>
    <t>NG-10312</t>
  </si>
  <si>
    <t>Glass Bookcase</t>
  </si>
  <si>
    <t>NG-10313</t>
  </si>
  <si>
    <t>Coconut (bag)</t>
  </si>
  <si>
    <t>NG-10314</t>
  </si>
  <si>
    <t>Laptop Cooling Fan</t>
  </si>
  <si>
    <t>NG-10315</t>
  </si>
  <si>
    <t>Sweatband</t>
  </si>
  <si>
    <t>NG-10316</t>
  </si>
  <si>
    <t>Floor Mat (woven)</t>
  </si>
  <si>
    <t>NG-10317</t>
  </si>
  <si>
    <t>Custard Powder (carton)</t>
  </si>
  <si>
    <t>NG-10318</t>
  </si>
  <si>
    <t>Streaming Microphone</t>
  </si>
  <si>
    <t>NG-10319</t>
  </si>
  <si>
    <t>Fez Cap</t>
  </si>
  <si>
    <t>NG-10320</t>
  </si>
  <si>
    <t>Storage Cubes</t>
  </si>
  <si>
    <t>NG-10321</t>
  </si>
  <si>
    <t>Bournvita (carton)</t>
  </si>
  <si>
    <t>NG-10322</t>
  </si>
  <si>
    <t>Phone Grip Holder</t>
  </si>
  <si>
    <t>NG-10323</t>
  </si>
  <si>
    <t>Waist Beads (roll)</t>
  </si>
  <si>
    <t>NG-10324</t>
  </si>
  <si>
    <t>Moroccan Pouf</t>
  </si>
  <si>
    <t>NG-10325</t>
  </si>
  <si>
    <t>Dash Cam</t>
  </si>
  <si>
    <t>NG-10326</t>
  </si>
  <si>
    <t>School Bag (dozen)</t>
  </si>
  <si>
    <t>NG-10327</t>
  </si>
  <si>
    <t>Catfish (live kg)</t>
  </si>
  <si>
    <t>NG-10328</t>
  </si>
  <si>
    <t>Projector Screen</t>
  </si>
  <si>
    <t>NG-10329</t>
  </si>
  <si>
    <t>Singlets (vests)</t>
  </si>
  <si>
    <t>NG-10330</t>
  </si>
  <si>
    <t>TV Wall Mount</t>
  </si>
  <si>
    <t>NG-10331</t>
  </si>
  <si>
    <t>Suya Spice (kg)</t>
  </si>
  <si>
    <t>NG-10332</t>
  </si>
  <si>
    <t>VR Glasses</t>
  </si>
  <si>
    <t>NG-10333</t>
  </si>
  <si>
    <t>Gladiator Sandals</t>
  </si>
  <si>
    <t>NG-10334</t>
  </si>
  <si>
    <t>Laundry Hamper</t>
  </si>
  <si>
    <t>NG-10335</t>
  </si>
  <si>
    <t>Irish Potato (bag)</t>
  </si>
  <si>
    <t>NG-10336</t>
  </si>
  <si>
    <t>USB Desk Fan</t>
  </si>
  <si>
    <t>NG-10337</t>
  </si>
  <si>
    <t>Flip Flops (bulk)</t>
  </si>
  <si>
    <t>NG-10338</t>
  </si>
  <si>
    <t>Drawer Organizer</t>
  </si>
  <si>
    <t>NG-10339</t>
  </si>
  <si>
    <t>Raspberry Pi</t>
  </si>
  <si>
    <t>NG-10340</t>
  </si>
  <si>
    <t>Baseball Cap</t>
  </si>
  <si>
    <t>NG-10341</t>
  </si>
  <si>
    <t>Plantain (bunch)</t>
  </si>
  <si>
    <t>NG-10342</t>
  </si>
  <si>
    <t>Smart Doorbell</t>
  </si>
  <si>
    <t>NG-10343</t>
  </si>
  <si>
    <t>Silk Pajamas</t>
  </si>
  <si>
    <t>NG-10344</t>
  </si>
  <si>
    <t>Floating Shelf</t>
  </si>
  <si>
    <t>NG-10345</t>
  </si>
  <si>
    <t>Orange (crate)</t>
  </si>
  <si>
    <t>NG-10346</t>
  </si>
  <si>
    <t>Wireless Presenter</t>
  </si>
  <si>
    <t>NG-10347</t>
  </si>
  <si>
    <t>Boxer Shorts (pack)</t>
  </si>
  <si>
    <t>NG-10348</t>
  </si>
  <si>
    <t>Invisible Bookshelf</t>
  </si>
  <si>
    <t>NG-10349</t>
  </si>
  <si>
    <t>Canned Tomatoes (carton)</t>
  </si>
  <si>
    <t>NG-10350</t>
  </si>
  <si>
    <t>Mouse Pad (gaming)</t>
  </si>
  <si>
    <t>NG-10351</t>
  </si>
  <si>
    <t>Crop Top</t>
  </si>
  <si>
    <t>NG-10352</t>
  </si>
  <si>
    <t>Shoe Cabinet</t>
  </si>
  <si>
    <t>NG-10353</t>
  </si>
  <si>
    <t>Car Charger</t>
  </si>
  <si>
    <t>NG-10354</t>
  </si>
  <si>
    <t>Tie-dye T-shirt</t>
  </si>
  <si>
    <t>NG-10355</t>
  </si>
  <si>
    <t>Muna Obiekwe</t>
  </si>
  <si>
    <t>Bitter Kola (bag)</t>
  </si>
  <si>
    <t>NG-10356</t>
  </si>
  <si>
    <t>Pasuma</t>
  </si>
  <si>
    <t>Walkie Talkie</t>
  </si>
  <si>
    <t>NG-10357</t>
  </si>
  <si>
    <t>Odogwu</t>
  </si>
  <si>
    <t>Caps (bulk)</t>
  </si>
  <si>
    <t>NG-10358</t>
  </si>
  <si>
    <t>Iyanya</t>
  </si>
  <si>
    <t>Picnic Basket</t>
  </si>
  <si>
    <t>NG-10359</t>
  </si>
  <si>
    <t>Murtala</t>
  </si>
  <si>
    <t>Chin Chin (carton)</t>
  </si>
  <si>
    <t>NG-10360</t>
  </si>
  <si>
    <t>Sarkodie</t>
  </si>
  <si>
    <t>Digital Thermometer</t>
  </si>
  <si>
    <t>NG-10361</t>
  </si>
  <si>
    <t>Phyno</t>
  </si>
  <si>
    <t>Singlet (muscle)</t>
  </si>
  <si>
    <t>NG-10362</t>
  </si>
  <si>
    <t>Oroko</t>
  </si>
  <si>
    <t>Hat Rack</t>
  </si>
  <si>
    <t>NG-10363</t>
  </si>
  <si>
    <t>Babatunde</t>
  </si>
  <si>
    <t>Dabino (dates)</t>
  </si>
  <si>
    <t>NG-10364</t>
  </si>
  <si>
    <t>Lil Kesh</t>
  </si>
  <si>
    <t>Phone Lens Kit</t>
  </si>
  <si>
    <t>NG-10365</t>
  </si>
  <si>
    <t>Onyeka</t>
  </si>
  <si>
    <t>Leg Warmers</t>
  </si>
  <si>
    <t>NG-10366</t>
  </si>
  <si>
    <t>Rayce</t>
  </si>
  <si>
    <t>Pet Bowl (set)</t>
  </si>
  <si>
    <t>NG-10367</t>
  </si>
  <si>
    <t>Ali Nuhu</t>
  </si>
  <si>
    <t>Kunun Aya (bottle)</t>
  </si>
  <si>
    <t>NG-10368</t>
  </si>
  <si>
    <t>Timi Dakolo</t>
  </si>
  <si>
    <t>LED Strip</t>
  </si>
  <si>
    <t>NG-10369</t>
  </si>
  <si>
    <t>P-Square</t>
  </si>
  <si>
    <t>Bandanas</t>
  </si>
  <si>
    <t>NG-10370</t>
  </si>
  <si>
    <t>Flavour</t>
  </si>
  <si>
    <t>Hanging Planter</t>
  </si>
  <si>
    <t>NG-10371</t>
  </si>
  <si>
    <t>Jigan</t>
  </si>
  <si>
    <t>Evaporated Milk (carton)</t>
  </si>
  <si>
    <t>NG-10372</t>
  </si>
  <si>
    <t>Olamide</t>
  </si>
  <si>
    <t>Game Controller</t>
  </si>
  <si>
    <t>NG-10373</t>
  </si>
  <si>
    <t>Chidinma</t>
  </si>
  <si>
    <t>Scrunchies</t>
  </si>
  <si>
    <t>NG-10374</t>
  </si>
  <si>
    <t>Timaya</t>
  </si>
  <si>
    <t>Wine Glass Set</t>
  </si>
  <si>
    <t>NG-10375</t>
  </si>
  <si>
    <t>Sadiq</t>
  </si>
  <si>
    <t>Pounded Yam Flour (10kg)</t>
  </si>
  <si>
    <t>NG-10376</t>
  </si>
  <si>
    <t>Ruggedman</t>
  </si>
  <si>
    <t>Car FM Transmitter</t>
  </si>
  <si>
    <t>NG-10377</t>
  </si>
  <si>
    <t>Ngozi</t>
  </si>
  <si>
    <t>Suspenders (bulk)</t>
  </si>
  <si>
    <t>NG-10378</t>
  </si>
  <si>
    <t>Shata</t>
  </si>
  <si>
    <t>Key Safe</t>
  </si>
  <si>
    <t>NG-10379</t>
  </si>
  <si>
    <t>Idris</t>
  </si>
  <si>
    <t>Ginger (bulk kg)</t>
  </si>
  <si>
    <t>NG-10380</t>
  </si>
  <si>
    <t>Terry G</t>
  </si>
  <si>
    <t>Antenna Booster</t>
  </si>
  <si>
    <t>NG-10381</t>
  </si>
  <si>
    <t>Kenny</t>
  </si>
  <si>
    <t>Face Paint (set)</t>
  </si>
  <si>
    <t>NG-10382</t>
  </si>
  <si>
    <t>Duncan</t>
  </si>
  <si>
    <t>Drawer Pulls (box)</t>
  </si>
  <si>
    <t>NG-10383</t>
  </si>
  <si>
    <t>Rabi</t>
  </si>
  <si>
    <t>Melon (egusi)</t>
  </si>
  <si>
    <t>NG-10384</t>
  </si>
  <si>
    <t>Solidstar</t>
  </si>
  <si>
    <t>USB Light</t>
  </si>
  <si>
    <t>NG-10385</t>
  </si>
  <si>
    <t>Eedris</t>
  </si>
  <si>
    <t>Wristbands</t>
  </si>
  <si>
    <t>NG-10386</t>
  </si>
  <si>
    <t>Ay</t>
  </si>
  <si>
    <t>Watermelon (cart)</t>
  </si>
  <si>
    <t>NG-10387</t>
  </si>
  <si>
    <t>Elenu</t>
  </si>
  <si>
    <t>Cable Clip</t>
  </si>
  <si>
    <t>NG-10388</t>
  </si>
  <si>
    <t>MC Galaxy</t>
  </si>
  <si>
    <t>Wall Decal (roll)</t>
  </si>
  <si>
    <t>NG-10389</t>
  </si>
  <si>
    <t>Chioma</t>
  </si>
  <si>
    <t>Tutu Skirt</t>
  </si>
  <si>
    <t>NG-10390</t>
  </si>
  <si>
    <t>Ceiling Light</t>
  </si>
  <si>
    <t>NG-10391</t>
  </si>
  <si>
    <t>Maryam</t>
  </si>
  <si>
    <t>Drinking Straw (carton)</t>
  </si>
  <si>
    <t>NG-10392</t>
  </si>
  <si>
    <t>Seun Kuti</t>
  </si>
  <si>
    <t>Phone PoP Socket</t>
  </si>
  <si>
    <t>NG-10393</t>
  </si>
  <si>
    <t>Nkem</t>
  </si>
  <si>
    <t>Hand Muff</t>
  </si>
  <si>
    <t>NG-10394</t>
  </si>
  <si>
    <t>King Perryy</t>
  </si>
  <si>
    <t>Doormat (jute)</t>
  </si>
  <si>
    <t>NG-10395</t>
  </si>
  <si>
    <t>Aisha</t>
  </si>
  <si>
    <t>Black Pepper (kg)</t>
  </si>
  <si>
    <t>NG-10396</t>
  </si>
  <si>
    <t>Skales</t>
  </si>
  <si>
    <t>Phone Ring Holder</t>
  </si>
  <si>
    <t>NG-10397</t>
  </si>
  <si>
    <t>Emma</t>
  </si>
  <si>
    <t>Neck Gaiter</t>
  </si>
  <si>
    <t>NG-10398</t>
  </si>
  <si>
    <t>Erigga</t>
  </si>
  <si>
    <t>Paper Towel Holder</t>
  </si>
  <si>
    <t>NG-10399</t>
  </si>
  <si>
    <t>Binta</t>
  </si>
  <si>
    <t>Thyme (kg)</t>
  </si>
  <si>
    <t>NG-10400</t>
  </si>
  <si>
    <t>CDQ</t>
  </si>
  <si>
    <t>Finger Sleeve (gaming)</t>
  </si>
  <si>
    <t>NG-10401</t>
  </si>
  <si>
    <t>Prince</t>
  </si>
  <si>
    <t>Cummerbund</t>
  </si>
  <si>
    <t>NG-10402</t>
  </si>
  <si>
    <t>Duncan Mighty</t>
  </si>
  <si>
    <t>Trivet Set</t>
  </si>
  <si>
    <t>NG-10403</t>
  </si>
  <si>
    <t>Amina</t>
  </si>
  <si>
    <t>Curry Powder (kg)</t>
  </si>
  <si>
    <t>NG-10404</t>
  </si>
  <si>
    <t>Larry Gaaga</t>
  </si>
  <si>
    <t>HDMI Switch</t>
  </si>
  <si>
    <t>NG-10405</t>
  </si>
  <si>
    <t>Slowdog</t>
  </si>
  <si>
    <t>Hair Scarf</t>
  </si>
  <si>
    <t>NG-10406</t>
  </si>
  <si>
    <t>Zoro</t>
  </si>
  <si>
    <t>Candle Holder</t>
  </si>
  <si>
    <t>NG-10407</t>
  </si>
  <si>
    <t>Sani</t>
  </si>
  <si>
    <t>Nutmeg (kg)</t>
  </si>
  <si>
    <t>NG-10408</t>
  </si>
  <si>
    <t>Mi</t>
  </si>
  <si>
    <t>NG-10409</t>
  </si>
  <si>
    <t>Chigul</t>
  </si>
  <si>
    <t>Glasses Chain</t>
  </si>
  <si>
    <t>NG-10410</t>
  </si>
  <si>
    <t>Harrysong</t>
  </si>
  <si>
    <t>Soap Dispenser</t>
  </si>
  <si>
    <t>NG-10411</t>
  </si>
  <si>
    <t>Rahama</t>
  </si>
  <si>
    <t>Cinnamon (kg)</t>
  </si>
  <si>
    <t>NG-10412</t>
  </si>
  <si>
    <t>Korede Bello</t>
  </si>
  <si>
    <t>Pop-up Camera</t>
  </si>
  <si>
    <t>NG-10413</t>
  </si>
  <si>
    <t>Nancy</t>
  </si>
  <si>
    <t>Bow Tie (self-tie)</t>
  </si>
  <si>
    <t>NG-10414</t>
  </si>
  <si>
    <t>Victor</t>
  </si>
  <si>
    <t>Coat Hook (set)</t>
  </si>
  <si>
    <t>NG-10415</t>
  </si>
  <si>
    <t>Nas</t>
  </si>
  <si>
    <t>Cloves (kg)</t>
  </si>
  <si>
    <t>NG-10416</t>
  </si>
  <si>
    <t>Shawn</t>
  </si>
  <si>
    <t>Magnetic Cable</t>
  </si>
  <si>
    <t>NG-10417</t>
  </si>
  <si>
    <t>Ada</t>
  </si>
  <si>
    <t>Button Pin</t>
  </si>
  <si>
    <t>NG-10418</t>
  </si>
  <si>
    <t>Ernest</t>
  </si>
  <si>
    <t>Ice Cube Tray</t>
  </si>
  <si>
    <t>NG-10419</t>
  </si>
  <si>
    <t>Lawan</t>
  </si>
  <si>
    <t>Bay Leaves (kg)</t>
  </si>
  <si>
    <t>NG-10420</t>
  </si>
  <si>
    <t>Runtown</t>
  </si>
  <si>
    <t>Car Phone Mount</t>
  </si>
  <si>
    <t>NG-10421</t>
  </si>
  <si>
    <t>Jide</t>
  </si>
  <si>
    <t>Fishnet Stockings</t>
  </si>
  <si>
    <t>NG-10422</t>
  </si>
  <si>
    <t>Tonto</t>
  </si>
  <si>
    <t>Paper Plate Holder</t>
  </si>
  <si>
    <t>NG-10423</t>
  </si>
  <si>
    <t>Halima</t>
  </si>
  <si>
    <t>Cake Sprinkles (box)</t>
  </si>
  <si>
    <t>NG-10424</t>
  </si>
  <si>
    <t>Dremo</t>
  </si>
  <si>
    <t>Laptop Sticker</t>
  </si>
  <si>
    <t>NG-10425</t>
  </si>
  <si>
    <t>Waist Trainer</t>
  </si>
  <si>
    <t>NG-10426</t>
  </si>
  <si>
    <t>Agbani</t>
  </si>
  <si>
    <t>Fridge Organizer</t>
  </si>
  <si>
    <t>NG-10427</t>
  </si>
  <si>
    <t>Yakubu</t>
  </si>
  <si>
    <t>Food Color (set)</t>
  </si>
  <si>
    <t>NG-10428</t>
  </si>
  <si>
    <t>NG-10429</t>
  </si>
  <si>
    <t>Okonkwo</t>
  </si>
  <si>
    <t>Suspenders (kids)</t>
  </si>
  <si>
    <t>NG-10430</t>
  </si>
  <si>
    <t>Kaffy</t>
  </si>
  <si>
    <t>Cup Holder</t>
  </si>
  <si>
    <t>NG-10431</t>
  </si>
  <si>
    <t>Fatima</t>
  </si>
  <si>
    <t>Baking Soda (kg)</t>
  </si>
  <si>
    <t>NG-10432</t>
  </si>
  <si>
    <t>Seyi</t>
  </si>
  <si>
    <t>Extension Cord (1m)</t>
  </si>
  <si>
    <t>NG-10433</t>
  </si>
  <si>
    <t>Kelechi</t>
  </si>
  <si>
    <t>Tutu Dress</t>
  </si>
  <si>
    <t>NG-10434</t>
  </si>
  <si>
    <t>Ibinabo</t>
  </si>
  <si>
    <t>Mosquito Net</t>
  </si>
  <si>
    <t>NG-10435</t>
  </si>
  <si>
    <t>Ahmad</t>
  </si>
  <si>
    <t>Vanilla Pods (kg)</t>
  </si>
  <si>
    <t>NG-10436</t>
  </si>
  <si>
    <t>Lil Frosh</t>
  </si>
  <si>
    <t>Screen Cleaner Spray</t>
  </si>
  <si>
    <t>NG-10437</t>
  </si>
  <si>
    <t>Nonso</t>
  </si>
  <si>
    <t>Headband (sports)</t>
  </si>
  <si>
    <t>NG-10438</t>
  </si>
  <si>
    <t>Benedict</t>
  </si>
  <si>
    <t>Wall-mounted Bottle Opener</t>
  </si>
  <si>
    <t>NG-10439</t>
  </si>
  <si>
    <t>Rukayya</t>
  </si>
  <si>
    <t>Poppy Seeds (kg)</t>
  </si>
  <si>
    <t>NG-10440</t>
  </si>
  <si>
    <t>TeeZee</t>
  </si>
  <si>
    <t>Phone Kickstand</t>
  </si>
  <si>
    <t>NG-10441</t>
  </si>
  <si>
    <t>Hair Clips (set)</t>
  </si>
  <si>
    <t>NG-10442</t>
  </si>
  <si>
    <t>Omawumi</t>
  </si>
  <si>
    <t>Trash Can (mini)</t>
  </si>
  <si>
    <t>NG-10443</t>
  </si>
  <si>
    <t>Bashir</t>
  </si>
  <si>
    <t>Saffron (g)</t>
  </si>
  <si>
    <t>NG-10444</t>
  </si>
  <si>
    <t>Chinko</t>
  </si>
  <si>
    <t>USB Hub (basic)</t>
  </si>
  <si>
    <t>NG-10445</t>
  </si>
  <si>
    <t>Obinna</t>
  </si>
  <si>
    <t>Face Shield</t>
  </si>
  <si>
    <t>NG-10446</t>
  </si>
  <si>
    <t>Dakore</t>
  </si>
  <si>
    <t>Shower Curtain</t>
  </si>
  <si>
    <t>NG-10447</t>
  </si>
  <si>
    <t>Zainab</t>
  </si>
  <si>
    <t>Condensed Milk (tin)</t>
  </si>
  <si>
    <t>NG-10448</t>
  </si>
  <si>
    <t>Bankulli</t>
  </si>
  <si>
    <t>Smartphone Gimbal</t>
  </si>
  <si>
    <t>NG-10449</t>
  </si>
  <si>
    <t>Faze</t>
  </si>
  <si>
    <t>Kitchen Apron</t>
  </si>
  <si>
    <t>NG-10450</t>
  </si>
  <si>
    <t>Shank</t>
  </si>
  <si>
    <t>Coat Rack (standing)</t>
  </si>
  <si>
    <t>NG-10451</t>
  </si>
  <si>
    <t>Khadija</t>
  </si>
  <si>
    <t>Popcorn Machine</t>
  </si>
  <si>
    <t>NG-10452</t>
  </si>
  <si>
    <t>Young John</t>
  </si>
  <si>
    <t>Tripod (phone)</t>
  </si>
  <si>
    <t>NG-10453</t>
  </si>
  <si>
    <t>Nosa</t>
  </si>
  <si>
    <t>Swim Cap</t>
  </si>
  <si>
    <t>NG-10454</t>
  </si>
  <si>
    <t>Debbie</t>
  </si>
  <si>
    <t>Foam Roller</t>
  </si>
  <si>
    <t>NG-10455</t>
  </si>
  <si>
    <t>Sabina</t>
  </si>
  <si>
    <t>Ice Cream Maker</t>
  </si>
  <si>
    <t>NG-10456</t>
  </si>
  <si>
    <t>Peri</t>
  </si>
  <si>
    <t>HDMI Cable (braided)</t>
  </si>
  <si>
    <t>NG-10457</t>
  </si>
  <si>
    <t>Chinedu</t>
  </si>
  <si>
    <t>Ballet Skirt</t>
  </si>
  <si>
    <t>NG-10458</t>
  </si>
  <si>
    <t>Monalisa</t>
  </si>
  <si>
    <t>Shoe Horn</t>
  </si>
  <si>
    <t>NG-10459</t>
  </si>
  <si>
    <t>Mairo</t>
  </si>
  <si>
    <t>Blender Bottle</t>
  </si>
  <si>
    <t>NG-10460</t>
  </si>
  <si>
    <t>Pheelz</t>
  </si>
  <si>
    <t>Desk Clamp Fan</t>
  </si>
  <si>
    <t>NG-10461</t>
  </si>
  <si>
    <t>JJC</t>
  </si>
  <si>
    <t>Cycling Jersey</t>
  </si>
  <si>
    <t>NG-10462</t>
  </si>
  <si>
    <t>Becca</t>
  </si>
  <si>
    <t>Wall-mounted Towel Rack</t>
  </si>
  <si>
    <t>NG-10463</t>
  </si>
  <si>
    <t>Nasiru</t>
  </si>
  <si>
    <t>Juice Extractor</t>
  </si>
  <si>
    <t>NG-10464</t>
  </si>
  <si>
    <t>Mo'Cheddah</t>
  </si>
  <si>
    <t>USB Rechargeable Light</t>
  </si>
  <si>
    <t>NG-10465</t>
  </si>
  <si>
    <t>Choc</t>
  </si>
  <si>
    <t>Fanny Pack</t>
  </si>
  <si>
    <t>NG-10466</t>
  </si>
  <si>
    <t>Drawer Knobs (set)</t>
  </si>
  <si>
    <t>NG-10467</t>
  </si>
  <si>
    <t>Rahinatu</t>
  </si>
  <si>
    <t>Toaster (sandwich)</t>
  </si>
  <si>
    <t>NG-10468</t>
  </si>
  <si>
    <t>May D</t>
  </si>
  <si>
    <t>Bluetooth Adapter</t>
  </si>
  <si>
    <t>NG-10469</t>
  </si>
  <si>
    <t>Bright</t>
  </si>
  <si>
    <t>Ski Mask</t>
  </si>
  <si>
    <t>NG-10470</t>
  </si>
  <si>
    <t>Judy</t>
  </si>
  <si>
    <t>Cake Stand</t>
  </si>
  <si>
    <t>NG-10471</t>
  </si>
  <si>
    <t>Waffle Maker</t>
  </si>
  <si>
    <t>NG-10472</t>
  </si>
  <si>
    <t>Nikki</t>
  </si>
  <si>
    <t>Macro Lens (phone)</t>
  </si>
  <si>
    <t>NG-10473</t>
  </si>
  <si>
    <t>Oma</t>
  </si>
  <si>
    <t>Poncho (rain)</t>
  </si>
  <si>
    <t>NG-10474</t>
  </si>
  <si>
    <t>Popcorn Maker</t>
  </si>
  <si>
    <t>NG-10475</t>
  </si>
  <si>
    <t>Hussaina</t>
  </si>
  <si>
    <t>AirPods Case</t>
  </si>
  <si>
    <t>NG-10476</t>
  </si>
  <si>
    <t>Sasha</t>
  </si>
  <si>
    <t>Harness (fashion)</t>
  </si>
  <si>
    <t>NG-10477</t>
  </si>
  <si>
    <t>Kofi</t>
  </si>
  <si>
    <t>Magazine Rack (wire)</t>
  </si>
  <si>
    <t>NG-10478</t>
  </si>
  <si>
    <t>Sunny</t>
  </si>
  <si>
    <t>Crepe Maker</t>
  </si>
  <si>
    <t>NG-10479</t>
  </si>
  <si>
    <t>Aliyu</t>
  </si>
  <si>
    <t>Cable Management Box</t>
  </si>
  <si>
    <t>NG-10480</t>
  </si>
  <si>
    <t>DJ Neptune</t>
  </si>
  <si>
    <t>Fanny Pack (leather)</t>
  </si>
  <si>
    <t>NG-10481</t>
  </si>
  <si>
    <t>Nelly</t>
  </si>
  <si>
    <t>Toilet Brush Holder</t>
  </si>
  <si>
    <t>NG-10482</t>
  </si>
  <si>
    <t>Genevieve</t>
  </si>
  <si>
    <t>Fondue Set</t>
  </si>
  <si>
    <t>NG-10483</t>
  </si>
  <si>
    <t>Mariya</t>
  </si>
  <si>
    <t>Phone Stand (car)</t>
  </si>
  <si>
    <t>NG-10484</t>
  </si>
  <si>
    <t>Sterling</t>
  </si>
  <si>
    <t>Bowler Hat (mini)</t>
  </si>
  <si>
    <t>NG-10485</t>
  </si>
  <si>
    <t>Ego</t>
  </si>
  <si>
    <t>Pot Lid Organizer</t>
  </si>
  <si>
    <t>NG-10486</t>
  </si>
  <si>
    <t>Okon</t>
  </si>
  <si>
    <t>Milk Frother</t>
  </si>
  <si>
    <t>NG-10487</t>
  </si>
  <si>
    <t>Labaran</t>
  </si>
  <si>
    <t>Desk Mat</t>
  </si>
  <si>
    <t>NG-10488</t>
  </si>
  <si>
    <t>Eva</t>
  </si>
  <si>
    <t>Cummerbund (kids)</t>
  </si>
  <si>
    <t>NG-10489</t>
  </si>
  <si>
    <t>George</t>
  </si>
  <si>
    <t>Spice Rack</t>
  </si>
  <si>
    <t>NG-10490</t>
  </si>
  <si>
    <t>Pat</t>
  </si>
  <si>
    <t>Tea Infuser</t>
  </si>
  <si>
    <t>NG-10491</t>
  </si>
  <si>
    <t>Rakiya</t>
  </si>
  <si>
    <t>Cable Sleeve</t>
  </si>
  <si>
    <t>NG-10492</t>
  </si>
  <si>
    <t>Shina</t>
  </si>
  <si>
    <t>Gloves (lacy)</t>
  </si>
  <si>
    <t>NG-10493</t>
  </si>
  <si>
    <t>Chuka</t>
  </si>
  <si>
    <t>Soap Dish</t>
  </si>
  <si>
    <t>NG-10494</t>
  </si>
  <si>
    <t>Peace</t>
  </si>
  <si>
    <t>Measuring Cups</t>
  </si>
  <si>
    <t>NG-10495</t>
  </si>
  <si>
    <t>Musa</t>
  </si>
  <si>
    <t>USB LED Light</t>
  </si>
  <si>
    <t>NG-10496</t>
  </si>
  <si>
    <t>Jidenna</t>
  </si>
  <si>
    <t>Shawl</t>
  </si>
  <si>
    <t>NG-10497</t>
  </si>
  <si>
    <t>Uche</t>
  </si>
  <si>
    <t>Napkin Holder</t>
  </si>
  <si>
    <t>NG-10498</t>
  </si>
  <si>
    <t>Finest</t>
  </si>
  <si>
    <t>Egg Slicer</t>
  </si>
  <si>
    <t>NG-10499</t>
  </si>
  <si>
    <t>Aminat</t>
  </si>
  <si>
    <t>Phone Grip Ring</t>
  </si>
  <si>
    <t>NG-10500</t>
  </si>
  <si>
    <t>Hair Turban</t>
  </si>
  <si>
    <t>Sum of Revenue</t>
  </si>
  <si>
    <t>Sum of Profit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</si>
  <si>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</si>
  <si>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</si>
  <si>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</si>
  <si>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</si>
  <si>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</si>
  <si>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</si>
  <si>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</si>
  <si>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</si>
  <si>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</si>
  <si>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</si>
  <si>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</si>
  <si>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KPI Labels</t>
  </si>
  <si>
    <t>Total Revenue</t>
  </si>
  <si>
    <t>Total Profit</t>
  </si>
  <si>
    <t>Profit Margin %</t>
  </si>
  <si>
    <t>Best Product</t>
  </si>
  <si>
    <t>Best Region</t>
  </si>
  <si>
    <t>Average Order Value</t>
  </si>
  <si>
    <t>MoM %</t>
  </si>
  <si>
    <t>Current Month Revenue</t>
  </si>
  <si>
    <t>Previous Month Revenue</t>
  </si>
  <si>
    <t>MoM Growth %</t>
  </si>
  <si>
    <t>Total Growth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</si>
</sst>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[$NGN]\ * #,##0.00_ ;_ [$NGN]\ * \-#,##0.00_ ;_ [$NGN]\ * &quot;-&quot;??_ ;_ @_ "/>
    <numFmt numFmtId="179" formatCode="[$NGN]\ #,##0.00;[$NGN]\ \-#,##0.00"/>
    <numFmt numFmtId="180" formatCode="#,##0_ "/>
    <numFmt numFmtId="181" formatCode="[$-409]d\-mmm\-yyyy;@"/>
    <numFmt numFmtId="182" formatCode="_ [$NGN]\ * #,##0_ ;_ [$NGN]\ * \-#,##0_ ;_ [$NGN]\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Alignment="1">
      <alignment vertical="center" wrapText="1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1" fontId="1" fillId="0" borderId="0" xfId="0" applyNumberFormat="1" applyFont="1">
      <alignment vertical="center"/>
    </xf>
    <xf numFmtId="182" fontId="1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0">
    <dxf>
      <numFmt numFmtId="183" formatCode="#,##0.00_ "/>
    </dxf>
    <dxf>
      <numFmt numFmtId="184" formatCode="#,##0.00_ "/>
    </dxf>
    <dxf>
      <numFmt numFmtId="178" formatCode="_ [$NGN]\ * #,##0.00_ ;_ [$NGN]\ * \-#,##0.00_ ;_ [$NGN]\ * &quot;-&quot;??_ ;_ @_ "/>
    </dxf>
    <dxf>
      <numFmt numFmtId="178" formatCode="_ [$NGN]\ * #,##0.00_ ;_ [$NGN]\ * \-#,##0.00_ ;_ [$NGN]\ * &quot;-&quot;??_ ;_ @_ "/>
    </dxf>
    <dxf>
      <numFmt numFmtId="185" formatCode="#,##0.00_ "/>
    </dxf>
    <dxf>
      <numFmt numFmtId="186" formatCode="#,##0.00_ "/>
    </dxf>
    <dxf>
      <numFmt numFmtId="178" formatCode="_ [$NGN]\ * #,##0.00_ ;_ [$NGN]\ * \-#,##0.00_ ;_ [$NGN]\ * &quot;-&quot;??_ ;_ @_ "/>
    </dxf>
    <dxf>
      <numFmt numFmtId="178" formatCode="_ [$NGN]\ * #,##0.00_ ;_ [$NGN]\ * \-#,##0.00_ ;_ [$NGN]\ * &quot;-&quot;??_ ;_ @_ "/>
    </dxf>
    <dxf>
      <numFmt numFmtId="187" formatCode="#,##0.00_ "/>
    </dxf>
    <dxf>
      <numFmt numFmtId="188" formatCode="#,##0.00_ "/>
    </dxf>
    <dxf>
      <numFmt numFmtId="178" formatCode="_ [$NGN]\ * #,##0.00_ ;_ [$NGN]\ * \-#,##0.00_ ;_ [$NGN]\ * &quot;-&quot;??_ ;_ @_ "/>
    </dxf>
    <dxf>
      <numFmt numFmtId="178" formatCode="_ [$NGN]\ * #,##0.00_ ;_ [$NGN]\ * \-#,##0.00_ ;_ [$NGN]\ * &quot;-&quot;??_ ;_ @_ "/>
    </dxf>
    <dxf>
      <numFmt numFmtId="178" formatCode="_ [$NGN]\ * #,##0.00_ ;_ [$NGN]\ * \-#,##0.00_ ;_ [$NGN]\ * &quot;-&quot;??_ ;_ @_ "/>
    </dxf>
    <dxf>
      <numFmt numFmtId="189" formatCode="#,##0.00_ "/>
    </dxf>
    <dxf>
      <numFmt numFmtId="178" formatCode="_ [$NGN]\ * #,##0.00_ ;_ [$NGN]\ * \-#,##0.00_ ;_ [$NGN]\ * &quot;-&quot;??_ ;_ @_ "/>
    </dxf>
    <dxf>
      <numFmt numFmtId="181" formatCode="[$-409]d\-mmm\-yyyy;@"/>
    </dxf>
    <dxf>
      <numFmt numFmtId="182" formatCode="_ [$NGN]\ * #,##0_ ;_ [$NGN]\ * \-#,##0_ ;_ [$NGN]\ * &quot;-&quot;_ ;_ @_ "/>
    </dxf>
    <dxf>
      <numFmt numFmtId="182" formatCode="_ [$NGN]\ * #,##0_ ;_ [$NGN]\ * \-#,##0_ ;_ [$NGN]\ * &quot;-&quot;_ ;_ @_ "/>
    </dxf>
    <dxf>
      <numFmt numFmtId="182" formatCode="_ [$NGN]\ * #,##0_ ;_ [$NGN]\ * \-#,##0_ ;_ [$NGN]\ * &quot;-&quot;_ ;_ @_ 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82" formatCode="_ [$NGN]\ * #,##0_ ;_ [$NGN]\ * \-#,##0_ ;_ [$NGN]\ * &quot;-&quot;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 val="1"/>
        <color rgb="FF000000"/>
      </font>
    </dxf>
    <dxf>
      <font>
        <b val="1"/>
        <color rgb="FF000000"/>
      </font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TableStylePreset8_Dark" pivot="0" count="9" xr9:uid="{444E521B-9A15-4B15-85FD-1B213ABF17EF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secondRowStripe" dxfId="33"/>
      <tableStyleElement type="firstColumnStripe" dxfId="32"/>
      <tableStyleElement type="secondColumnStripe" dxfId="31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200025</xdr:colOff>
      <xdr:row>0</xdr:row>
      <xdr:rowOff>104775</xdr:rowOff>
    </xdr:from>
    <xdr:to>
      <xdr:col>5</xdr:col>
      <xdr:colOff>294640</xdr:colOff>
      <xdr:row>9</xdr:row>
      <xdr:rowOff>47625</xdr:rowOff>
    </xdr:to>
    <xdr:sp>
      <xdr:nvSpPr>
        <xdr:cNvPr id="7" name="Rounded Rectangle 6"/>
        <xdr:cNvSpPr/>
      </xdr:nvSpPr>
      <xdr:spPr>
        <a:xfrm>
          <a:off x="809625" y="104775"/>
          <a:ext cx="2533015" cy="165735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oneCellAnchor>
    <xdr:from>
      <xdr:col>1</xdr:col>
      <xdr:colOff>247650</xdr:colOff>
      <xdr:row>1</xdr:row>
      <xdr:rowOff>152400</xdr:rowOff>
    </xdr:from>
    <xdr:ext cx="1120775" cy="273685"/>
    <xdr:sp>
      <xdr:nvSpPr>
        <xdr:cNvPr id="8" name="Text Box 7"/>
        <xdr:cNvSpPr txBox="1"/>
      </xdr:nvSpPr>
      <xdr:spPr>
        <a:xfrm>
          <a:off x="857250" y="342900"/>
          <a:ext cx="112077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en-GB" sz="1100">
              <a:solidFill>
                <a:schemeClr val="tx1">
                  <a:lumMod val="75000"/>
                  <a:lumOff val="25000"/>
                </a:schemeClr>
              </a:solidFill>
            </a:rPr>
            <a:t>TOTAL REVENUE</a:t>
          </a:r>
          <a:endParaRPr lang="en-US" altLang="en-GB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oneCellAnchor>
  <xdr:oneCellAnchor>
    <xdr:from>
      <xdr:col>1</xdr:col>
      <xdr:colOff>180975</xdr:colOff>
      <xdr:row>2</xdr:row>
      <xdr:rowOff>180975</xdr:rowOff>
    </xdr:from>
    <xdr:ext cx="3272155" cy="1023620"/>
    <xdr:sp textlink="KPI_Calculations!B2">
      <xdr:nvSpPr>
        <xdr:cNvPr id="9" name="Text Box 8"/>
        <xdr:cNvSpPr txBox="1"/>
      </xdr:nvSpPr>
      <xdr:spPr>
        <a:xfrm>
          <a:off x="790575" y="561975"/>
          <a:ext cx="3272155" cy="10236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fld id="{BB962C8B-B14F-4D97-AF65-F5344CB8AC3E}" type="TxLink">
            <a:rPr lang="en-US" altLang="en-GB" sz="2800" b="1"/>
            <a:t> NGN 724,952,500.00 </a:t>
          </a:fld>
          <a:endParaRPr lang="en-US" altLang="en-GB" sz="2800" b="1"/>
        </a:p>
      </xdr:txBody>
    </xdr:sp>
    <xdr:clientData/>
  </xdr:oneCellAnchor>
  <xdr:twoCellAnchor>
    <xdr:from>
      <xdr:col>1</xdr:col>
      <xdr:colOff>165100</xdr:colOff>
      <xdr:row>9</xdr:row>
      <xdr:rowOff>184150</xdr:rowOff>
    </xdr:from>
    <xdr:to>
      <xdr:col>5</xdr:col>
      <xdr:colOff>259715</xdr:colOff>
      <xdr:row>18</xdr:row>
      <xdr:rowOff>127000</xdr:rowOff>
    </xdr:to>
    <xdr:sp>
      <xdr:nvSpPr>
        <xdr:cNvPr id="11" name="Rounded Rectangle 10"/>
        <xdr:cNvSpPr/>
      </xdr:nvSpPr>
      <xdr:spPr>
        <a:xfrm>
          <a:off x="774700" y="1898650"/>
          <a:ext cx="2533015" cy="165735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oneCellAnchor>
    <xdr:from>
      <xdr:col>1</xdr:col>
      <xdr:colOff>212725</xdr:colOff>
      <xdr:row>11</xdr:row>
      <xdr:rowOff>3175</xdr:rowOff>
    </xdr:from>
    <xdr:ext cx="1139825" cy="255270"/>
    <xdr:sp>
      <xdr:nvSpPr>
        <xdr:cNvPr id="12" name="Text Box 11"/>
        <xdr:cNvSpPr txBox="1"/>
      </xdr:nvSpPr>
      <xdr:spPr>
        <a:xfrm>
          <a:off x="822325" y="2098675"/>
          <a:ext cx="1139825" cy="2552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100">
              <a:solidFill>
                <a:schemeClr val="tx1">
                  <a:lumMod val="75000"/>
                  <a:lumOff val="25000"/>
                </a:schemeClr>
              </a:solidFill>
            </a:rPr>
            <a:t>TOTAL PROFIT</a:t>
          </a:r>
          <a:endParaRPr lang="en-US" altLang="en-GB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oneCellAnchor>
  <xdr:oneCellAnchor>
    <xdr:from>
      <xdr:col>1</xdr:col>
      <xdr:colOff>146050</xdr:colOff>
      <xdr:row>12</xdr:row>
      <xdr:rowOff>79375</xdr:rowOff>
    </xdr:from>
    <xdr:ext cx="3167380" cy="1251585"/>
    <xdr:sp textlink="KPI_Calculations!B3">
      <xdr:nvSpPr>
        <xdr:cNvPr id="13" name="Text Box 12"/>
        <xdr:cNvSpPr txBox="1"/>
      </xdr:nvSpPr>
      <xdr:spPr>
        <a:xfrm>
          <a:off x="755650" y="2365375"/>
          <a:ext cx="3167380" cy="12515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altLang="en-GB" sz="2800" b="1"/>
            <a:t>NGN 127,683,125.00</a:t>
          </a:fld>
          <a:endParaRPr lang="en-US" altLang="en-GB" sz="2800" b="1"/>
        </a:p>
      </xdr:txBody>
    </xdr:sp>
    <xdr:clientData/>
  </xdr:oneCellAnchor>
  <xdr:twoCellAnchor>
    <xdr:from>
      <xdr:col>6</xdr:col>
      <xdr:colOff>593725</xdr:colOff>
      <xdr:row>0</xdr:row>
      <xdr:rowOff>127000</xdr:rowOff>
    </xdr:from>
    <xdr:to>
      <xdr:col>11</xdr:col>
      <xdr:colOff>78740</xdr:colOff>
      <xdr:row>9</xdr:row>
      <xdr:rowOff>69850</xdr:rowOff>
    </xdr:to>
    <xdr:sp>
      <xdr:nvSpPr>
        <xdr:cNvPr id="14" name="Rounded Rectangle 13"/>
        <xdr:cNvSpPr/>
      </xdr:nvSpPr>
      <xdr:spPr>
        <a:xfrm>
          <a:off x="4251325" y="127000"/>
          <a:ext cx="2533015" cy="1657350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oneCellAnchor>
    <xdr:from>
      <xdr:col>7</xdr:col>
      <xdr:colOff>41275</xdr:colOff>
      <xdr:row>1</xdr:row>
      <xdr:rowOff>165100</xdr:rowOff>
    </xdr:from>
    <xdr:ext cx="940435" cy="273685"/>
    <xdr:sp>
      <xdr:nvSpPr>
        <xdr:cNvPr id="15" name="Text Box 14"/>
        <xdr:cNvSpPr txBox="1"/>
      </xdr:nvSpPr>
      <xdr:spPr>
        <a:xfrm>
          <a:off x="4308475" y="355600"/>
          <a:ext cx="9404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100">
              <a:solidFill>
                <a:schemeClr val="tx1">
                  <a:lumMod val="75000"/>
                  <a:lumOff val="25000"/>
                </a:schemeClr>
              </a:solidFill>
            </a:rPr>
            <a:t>BEST REGION</a:t>
          </a:r>
          <a:endParaRPr lang="en-US" altLang="en-GB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oneCellAnchor>
  <xdr:oneCellAnchor>
    <xdr:from>
      <xdr:col>6</xdr:col>
      <xdr:colOff>603250</xdr:colOff>
      <xdr:row>4</xdr:row>
      <xdr:rowOff>31750</xdr:rowOff>
    </xdr:from>
    <xdr:ext cx="3272155" cy="1023620"/>
    <xdr:sp textlink="KPI_Calculations!B7">
      <xdr:nvSpPr>
        <xdr:cNvPr id="16" name="Text Box 15"/>
        <xdr:cNvSpPr txBox="1"/>
      </xdr:nvSpPr>
      <xdr:spPr>
        <a:xfrm>
          <a:off x="4260850" y="793750"/>
          <a:ext cx="3272155" cy="10236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altLang="en-GB" sz="2800" b="1"/>
            <a:t>South</a:t>
          </a:fld>
          <a:endParaRPr lang="en-US" altLang="en-GB" sz="2800" b="1"/>
        </a:p>
      </xdr:txBody>
    </xdr:sp>
    <xdr:clientData/>
  </xdr:oneCellAnchor>
  <xdr:twoCellAnchor>
    <xdr:from>
      <xdr:col>6</xdr:col>
      <xdr:colOff>606425</xdr:colOff>
      <xdr:row>9</xdr:row>
      <xdr:rowOff>168275</xdr:rowOff>
    </xdr:from>
    <xdr:to>
      <xdr:col>11</xdr:col>
      <xdr:colOff>91440</xdr:colOff>
      <xdr:row>18</xdr:row>
      <xdr:rowOff>111125</xdr:rowOff>
    </xdr:to>
    <xdr:sp>
      <xdr:nvSpPr>
        <xdr:cNvPr id="17" name="Rounded Rectangle 16"/>
        <xdr:cNvSpPr/>
      </xdr:nvSpPr>
      <xdr:spPr>
        <a:xfrm>
          <a:off x="4264025" y="1882775"/>
          <a:ext cx="2533015" cy="165735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oneCellAnchor>
    <xdr:from>
      <xdr:col>7</xdr:col>
      <xdr:colOff>3175</xdr:colOff>
      <xdr:row>10</xdr:row>
      <xdr:rowOff>155575</xdr:rowOff>
    </xdr:from>
    <xdr:ext cx="1005840" cy="273685"/>
    <xdr:sp>
      <xdr:nvSpPr>
        <xdr:cNvPr id="18" name="Text Box 17"/>
        <xdr:cNvSpPr txBox="1"/>
      </xdr:nvSpPr>
      <xdr:spPr>
        <a:xfrm>
          <a:off x="4270375" y="2060575"/>
          <a:ext cx="100584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100">
              <a:solidFill>
                <a:schemeClr val="tx1">
                  <a:lumMod val="75000"/>
                  <a:lumOff val="25000"/>
                </a:schemeClr>
              </a:solidFill>
            </a:rPr>
            <a:t>TOP PRODUCT</a:t>
          </a:r>
          <a:endParaRPr lang="en-US" altLang="en-GB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oneCellAnchor>
  <xdr:oneCellAnchor>
    <xdr:from>
      <xdr:col>7</xdr:col>
      <xdr:colOff>6350</xdr:colOff>
      <xdr:row>11</xdr:row>
      <xdr:rowOff>187325</xdr:rowOff>
    </xdr:from>
    <xdr:ext cx="2606040" cy="1023620"/>
    <xdr:sp textlink="KPI_Calculations!B6">
      <xdr:nvSpPr>
        <xdr:cNvPr id="19" name="Text Box 18"/>
        <xdr:cNvSpPr txBox="1"/>
      </xdr:nvSpPr>
      <xdr:spPr>
        <a:xfrm>
          <a:off x="4273550" y="2282825"/>
          <a:ext cx="2606040" cy="10236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altLang="en-GB" sz="2800" b="1"/>
            <a:t>iPhone 15 Pro Max</a:t>
          </a:fld>
          <a:endParaRPr lang="en-US" altLang="en-GB" sz="2800" b="1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3.7545486111" refreshedBy="Oludare Folusho" recordCount="500">
  <cacheSource type="worksheet">
    <worksheetSource name="tblSales"/>
  </cacheSource>
  <cacheFields count="18">
    <cacheField name="Order ID" numFmtId="0">
      <sharedItems count="500">
        <s v="NG-10001"/>
        <s v="NG-10002"/>
        <s v="NG-10003"/>
        <s v="NG-10004"/>
        <s v="NG-10005"/>
        <s v="NG-10006"/>
        <s v="NG-10007"/>
        <s v="NG-10008"/>
        <s v="NG-10009"/>
        <s v="NG-10010"/>
        <s v="NG-10011"/>
        <s v="NG-10012"/>
        <s v="NG-10013"/>
        <s v="NG-10014"/>
        <s v="NG-10015"/>
        <s v="NG-10016"/>
        <s v="NG-10017"/>
        <s v="NG-10018"/>
        <s v="NG-10019"/>
        <s v="NG-10020"/>
        <s v="NG-10021"/>
        <s v="NG-10022"/>
        <s v="NG-10023"/>
        <s v="NG-10024"/>
        <s v="NG-10025"/>
        <s v="NG-10026"/>
        <s v="NG-10027"/>
        <s v="NG-10028"/>
        <s v="NG-10029"/>
        <s v="NG-10030"/>
        <s v="NG-10031"/>
        <s v="NG-10032"/>
        <s v="NG-10033"/>
        <s v="NG-10034"/>
        <s v="NG-10035"/>
        <s v="NG-10036"/>
        <s v="NG-10037"/>
        <s v="NG-10038"/>
        <s v="NG-10039"/>
        <s v="NG-10040"/>
        <s v="NG-10041"/>
        <s v="NG-10042"/>
        <s v="NG-10043"/>
        <s v="NG-10044"/>
        <s v="NG-10045"/>
        <s v="NG-10046"/>
        <s v="NG-10047"/>
        <s v="NG-10048"/>
        <s v="NG-10049"/>
        <s v="NG-10050"/>
        <s v="NG-10051"/>
        <s v="NG-10052"/>
        <s v="NG-10053"/>
        <s v="NG-10054"/>
        <s v="NG-10055"/>
        <s v="NG-10056"/>
        <s v="NG-10057"/>
        <s v="NG-10058"/>
        <s v="NG-10059"/>
        <s v="NG-10060"/>
        <s v="NG-10061"/>
        <s v="NG-10062"/>
        <s v="NG-10063"/>
        <s v="NG-10064"/>
        <s v="NG-10065"/>
        <s v="NG-10066"/>
        <s v="NG-10067"/>
        <s v="NG-10068"/>
        <s v="NG-10069"/>
        <s v="NG-10070"/>
        <s v="NG-10071"/>
        <s v="NG-10072"/>
        <s v="NG-10073"/>
        <s v="NG-10074"/>
        <s v="NG-10075"/>
        <s v="NG-10076"/>
        <s v="NG-10077"/>
        <s v="NG-10078"/>
        <s v="NG-10079"/>
        <s v="NG-10080"/>
        <s v="NG-10081"/>
        <s v="NG-10082"/>
        <s v="NG-10083"/>
        <s v="NG-10084"/>
        <s v="NG-10085"/>
        <s v="NG-10086"/>
        <s v="NG-10087"/>
        <s v="NG-10088"/>
        <s v="NG-10089"/>
        <s v="NG-10090"/>
        <s v="NG-10091"/>
        <s v="NG-10092"/>
        <s v="NG-10093"/>
        <s v="NG-10094"/>
        <s v="NG-10095"/>
        <s v="NG-10096"/>
        <s v="NG-10097"/>
        <s v="NG-10098"/>
        <s v="NG-10099"/>
        <s v="NG-10100"/>
        <s v="NG-10101"/>
        <s v="NG-10102"/>
        <s v="NG-10103"/>
        <s v="NG-10104"/>
        <s v="NG-10105"/>
        <s v="NG-10106"/>
        <s v="NG-10107"/>
        <s v="NG-10108"/>
        <s v="NG-10109"/>
        <s v="NG-10110"/>
        <s v="NG-10111"/>
        <s v="NG-10112"/>
        <s v="NG-10113"/>
        <s v="NG-10114"/>
        <s v="NG-10115"/>
        <s v="NG-10116"/>
        <s v="NG-10117"/>
        <s v="NG-10118"/>
        <s v="NG-10119"/>
        <s v="NG-10120"/>
        <s v="NG-10121"/>
        <s v="NG-10122"/>
        <s v="NG-10123"/>
        <s v="NG-10124"/>
        <s v="NG-10125"/>
        <s v="NG-10126"/>
        <s v="NG-10127"/>
        <s v="NG-10128"/>
        <s v="NG-10129"/>
        <s v="NG-10130"/>
        <s v="NG-10131"/>
        <s v="NG-10132"/>
        <s v="NG-10133"/>
        <s v="NG-10134"/>
        <s v="NG-10135"/>
        <s v="NG-10136"/>
        <s v="NG-10137"/>
        <s v="NG-10138"/>
        <s v="NG-10139"/>
        <s v="NG-10140"/>
        <s v="NG-10141"/>
        <s v="NG-10142"/>
        <s v="NG-10143"/>
        <s v="NG-10144"/>
        <s v="NG-10145"/>
        <s v="NG-10146"/>
        <s v="NG-10147"/>
        <s v="NG-10148"/>
        <s v="NG-10149"/>
        <s v="NG-10150"/>
        <s v="NG-10151"/>
        <s v="NG-10152"/>
        <s v="NG-10153"/>
        <s v="NG-10154"/>
        <s v="NG-10155"/>
        <s v="NG-10156"/>
        <s v="NG-10157"/>
        <s v="NG-10158"/>
        <s v="NG-10159"/>
        <s v="NG-10160"/>
        <s v="NG-10161"/>
        <s v="NG-10162"/>
        <s v="NG-10163"/>
        <s v="NG-10164"/>
        <s v="NG-10165"/>
        <s v="NG-10166"/>
        <s v="NG-10167"/>
        <s v="NG-10168"/>
        <s v="NG-10169"/>
        <s v="NG-10170"/>
        <s v="NG-10171"/>
        <s v="NG-10172"/>
        <s v="NG-10173"/>
        <s v="NG-10174"/>
        <s v="NG-10175"/>
        <s v="NG-10176"/>
        <s v="NG-10177"/>
        <s v="NG-10178"/>
        <s v="NG-10179"/>
        <s v="NG-10180"/>
        <s v="NG-10181"/>
        <s v="NG-10182"/>
        <s v="NG-10183"/>
        <s v="NG-10184"/>
        <s v="NG-10185"/>
        <s v="NG-10186"/>
        <s v="NG-10187"/>
        <s v="NG-10188"/>
        <s v="NG-10189"/>
        <s v="NG-10190"/>
        <s v="NG-10191"/>
        <s v="NG-10192"/>
        <s v="NG-10193"/>
        <s v="NG-10194"/>
        <s v="NG-10195"/>
        <s v="NG-10196"/>
        <s v="NG-10197"/>
        <s v="NG-10198"/>
        <s v="NG-10199"/>
        <s v="NG-10200"/>
        <s v="NG-10201"/>
        <s v="NG-10202"/>
        <s v="NG-10203"/>
        <s v="NG-10204"/>
        <s v="NG-10205"/>
        <s v="NG-10206"/>
        <s v="NG-10207"/>
        <s v="NG-10208"/>
        <s v="NG-10209"/>
        <s v="NG-10210"/>
        <s v="NG-10211"/>
        <s v="NG-10212"/>
        <s v="NG-10213"/>
        <s v="NG-10214"/>
        <s v="NG-10215"/>
        <s v="NG-10216"/>
        <s v="NG-10217"/>
        <s v="NG-10218"/>
        <s v="NG-10219"/>
        <s v="NG-10220"/>
        <s v="NG-10221"/>
        <s v="NG-10222"/>
        <s v="NG-10223"/>
        <s v="NG-10224"/>
        <s v="NG-10225"/>
        <s v="NG-10226"/>
        <s v="NG-10227"/>
        <s v="NG-10228"/>
        <s v="NG-10229"/>
        <s v="NG-10230"/>
        <s v="NG-10231"/>
        <s v="NG-10232"/>
        <s v="NG-10233"/>
        <s v="NG-10234"/>
        <s v="NG-10235"/>
        <s v="NG-10236"/>
        <s v="NG-10237"/>
        <s v="NG-10238"/>
        <s v="NG-10239"/>
        <s v="NG-10240"/>
        <s v="NG-10241"/>
        <s v="NG-10242"/>
        <s v="NG-10243"/>
        <s v="NG-10244"/>
        <s v="NG-10245"/>
        <s v="NG-10246"/>
        <s v="NG-10247"/>
        <s v="NG-10248"/>
        <s v="NG-10249"/>
        <s v="NG-10250"/>
        <s v="NG-10251"/>
        <s v="NG-10252"/>
        <s v="NG-10253"/>
        <s v="NG-10254"/>
        <s v="NG-10255"/>
        <s v="NG-10256"/>
        <s v="NG-10257"/>
        <s v="NG-10258"/>
        <s v="NG-10259"/>
        <s v="NG-10260"/>
        <s v="NG-10261"/>
        <s v="NG-10262"/>
        <s v="NG-10263"/>
        <s v="NG-10264"/>
        <s v="NG-10265"/>
        <s v="NG-10266"/>
        <s v="NG-10267"/>
        <s v="NG-10268"/>
        <s v="NG-10269"/>
        <s v="NG-10270"/>
        <s v="NG-10271"/>
        <s v="NG-10272"/>
        <s v="NG-10273"/>
        <s v="NG-10274"/>
        <s v="NG-10275"/>
        <s v="NG-10276"/>
        <s v="NG-10277"/>
        <s v="NG-10278"/>
        <s v="NG-10279"/>
        <s v="NG-10280"/>
        <s v="NG-10281"/>
        <s v="NG-10282"/>
        <s v="NG-10283"/>
        <s v="NG-10284"/>
        <s v="NG-10285"/>
        <s v="NG-10286"/>
        <s v="NG-10287"/>
        <s v="NG-10288"/>
        <s v="NG-10289"/>
        <s v="NG-10290"/>
        <s v="NG-10291"/>
        <s v="NG-10292"/>
        <s v="NG-10293"/>
        <s v="NG-10294"/>
        <s v="NG-10295"/>
        <s v="NG-10296"/>
        <s v="NG-10297"/>
        <s v="NG-10298"/>
        <s v="NG-10299"/>
        <s v="NG-10300"/>
        <s v="NG-10301"/>
        <s v="NG-10302"/>
        <s v="NG-10303"/>
        <s v="NG-10304"/>
        <s v="NG-10305"/>
        <s v="NG-10306"/>
        <s v="NG-10307"/>
        <s v="NG-10308"/>
        <s v="NG-10309"/>
        <s v="NG-10310"/>
        <s v="NG-10311"/>
        <s v="NG-10312"/>
        <s v="NG-10313"/>
        <s v="NG-10314"/>
        <s v="NG-10315"/>
        <s v="NG-10316"/>
        <s v="NG-10317"/>
        <s v="NG-10318"/>
        <s v="NG-10319"/>
        <s v="NG-10320"/>
        <s v="NG-10321"/>
        <s v="NG-10322"/>
        <s v="NG-10323"/>
        <s v="NG-10324"/>
        <s v="NG-10325"/>
        <s v="NG-10326"/>
        <s v="NG-10327"/>
        <s v="NG-10328"/>
        <s v="NG-10329"/>
        <s v="NG-10330"/>
        <s v="NG-10331"/>
        <s v="NG-10332"/>
        <s v="NG-10333"/>
        <s v="NG-10334"/>
        <s v="NG-10335"/>
        <s v="NG-10336"/>
        <s v="NG-10337"/>
        <s v="NG-10338"/>
        <s v="NG-10339"/>
        <s v="NG-10340"/>
        <s v="NG-10341"/>
        <s v="NG-10342"/>
        <s v="NG-10343"/>
        <s v="NG-10344"/>
        <s v="NG-10345"/>
        <s v="NG-10346"/>
        <s v="NG-10347"/>
        <s v="NG-10348"/>
        <s v="NG-10349"/>
        <s v="NG-10350"/>
        <s v="NG-10351"/>
        <s v="NG-10352"/>
        <s v="NG-10353"/>
        <s v="NG-10354"/>
        <s v="NG-10355"/>
        <s v="NG-10356"/>
        <s v="NG-10357"/>
        <s v="NG-10358"/>
        <s v="NG-10359"/>
        <s v="NG-10360"/>
        <s v="NG-10361"/>
        <s v="NG-10362"/>
        <s v="NG-10363"/>
        <s v="NG-10364"/>
        <s v="NG-10365"/>
        <s v="NG-10366"/>
        <s v="NG-10367"/>
        <s v="NG-10368"/>
        <s v="NG-10369"/>
        <s v="NG-10370"/>
        <s v="NG-10371"/>
        <s v="NG-10372"/>
        <s v="NG-10373"/>
        <s v="NG-10374"/>
        <s v="NG-10375"/>
        <s v="NG-10376"/>
        <s v="NG-10377"/>
        <s v="NG-10378"/>
        <s v="NG-10379"/>
        <s v="NG-10380"/>
        <s v="NG-10381"/>
        <s v="NG-10382"/>
        <s v="NG-10383"/>
        <s v="NG-10384"/>
        <s v="NG-10385"/>
        <s v="NG-10386"/>
        <s v="NG-10387"/>
        <s v="NG-10388"/>
        <s v="NG-10389"/>
        <s v="NG-10390"/>
        <s v="NG-10391"/>
        <s v="NG-10392"/>
        <s v="NG-10393"/>
        <s v="NG-10394"/>
        <s v="NG-10395"/>
        <s v="NG-10396"/>
        <s v="NG-10397"/>
        <s v="NG-10398"/>
        <s v="NG-10399"/>
        <s v="NG-10400"/>
        <s v="NG-10401"/>
        <s v="NG-10402"/>
        <s v="NG-10403"/>
        <s v="NG-10404"/>
        <s v="NG-10405"/>
        <s v="NG-10406"/>
        <s v="NG-10407"/>
        <s v="NG-10408"/>
        <s v="NG-10409"/>
        <s v="NG-10410"/>
        <s v="NG-10411"/>
        <s v="NG-10412"/>
        <s v="NG-10413"/>
        <s v="NG-10414"/>
        <s v="NG-10415"/>
        <s v="NG-10416"/>
        <s v="NG-10417"/>
        <s v="NG-10418"/>
        <s v="NG-10419"/>
        <s v="NG-10420"/>
        <s v="NG-10421"/>
        <s v="NG-10422"/>
        <s v="NG-10423"/>
        <s v="NG-10424"/>
        <s v="NG-10425"/>
        <s v="NG-10426"/>
        <s v="NG-10427"/>
        <s v="NG-10428"/>
        <s v="NG-10429"/>
        <s v="NG-10430"/>
        <s v="NG-10431"/>
        <s v="NG-10432"/>
        <s v="NG-10433"/>
        <s v="NG-10434"/>
        <s v="NG-10435"/>
        <s v="NG-10436"/>
        <s v="NG-10437"/>
        <s v="NG-10438"/>
        <s v="NG-10439"/>
        <s v="NG-10440"/>
        <s v="NG-10441"/>
        <s v="NG-10442"/>
        <s v="NG-10443"/>
        <s v="NG-10444"/>
        <s v="NG-10445"/>
        <s v="NG-10446"/>
        <s v="NG-10447"/>
        <s v="NG-10448"/>
        <s v="NG-10449"/>
        <s v="NG-10450"/>
        <s v="NG-10451"/>
        <s v="NG-10452"/>
        <s v="NG-10453"/>
        <s v="NG-10454"/>
        <s v="NG-10455"/>
        <s v="NG-10456"/>
        <s v="NG-10457"/>
        <s v="NG-10458"/>
        <s v="NG-10459"/>
        <s v="NG-10460"/>
        <s v="NG-10461"/>
        <s v="NG-10462"/>
        <s v="NG-10463"/>
        <s v="NG-10464"/>
        <s v="NG-10465"/>
        <s v="NG-10466"/>
        <s v="NG-10467"/>
        <s v="NG-10468"/>
        <s v="NG-10469"/>
        <s v="NG-10470"/>
        <s v="NG-10471"/>
        <s v="NG-10472"/>
        <s v="NG-10473"/>
        <s v="NG-10474"/>
        <s v="NG-10475"/>
        <s v="NG-10476"/>
        <s v="NG-10477"/>
        <s v="NG-10478"/>
        <s v="NG-10479"/>
        <s v="NG-10480"/>
        <s v="NG-10481"/>
        <s v="NG-10482"/>
        <s v="NG-10483"/>
        <s v="NG-10484"/>
        <s v="NG-10485"/>
        <s v="NG-10486"/>
        <s v="NG-10487"/>
        <s v="NG-10488"/>
        <s v="NG-10489"/>
        <s v="NG-10490"/>
        <s v="NG-10491"/>
        <s v="NG-10492"/>
        <s v="NG-10493"/>
        <s v="NG-10494"/>
        <s v="NG-10495"/>
        <s v="NG-10496"/>
        <s v="NG-10497"/>
        <s v="NG-10498"/>
        <s v="NG-10499"/>
        <s v="NG-10500"/>
      </sharedItems>
    </cacheField>
    <cacheField name="Date" numFmtId="181">
      <sharedItems containsSemiMixedTypes="0" containsString="0" containsNonDate="0" containsDate="1" minDate="2024-01-15T00:00:00" maxDate="2024-10-28T00:00:00" count="284"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</sharedItems>
    </cacheField>
    <cacheField name="Region" numFmtId="0">
      <sharedItems count="4">
        <s v="South"/>
        <s v="West"/>
        <s v="North"/>
        <s v="East"/>
      </sharedItems>
    </cacheField>
    <cacheField name="State" numFmtId="0">
      <sharedItems count="13">
        <s v="Rivers"/>
        <s v="Lagos"/>
        <s v="Kano"/>
        <s v="Enugu"/>
        <s v="Oyo"/>
        <s v="Delta"/>
        <s v="Kaduna"/>
        <s v="Anambra"/>
        <s v="Ogun"/>
        <s v="Imo"/>
        <s v="Cross River"/>
        <s v="Bayelsa"/>
        <s v="Abia"/>
      </sharedItems>
    </cacheField>
    <cacheField name="Sales Rep" numFmtId="0">
      <sharedItems count="338">
        <s v="Amara Okafor"/>
        <s v="Chidi Okonkwo"/>
        <s v="Fatima Bello"/>
        <s v="Emeka Nwosu"/>
        <s v="Oluwaseun Adeyemi"/>
        <s v="Ngozi Eze"/>
        <s v="Ibrahim Musa"/>
        <s v="Tunde Bakare"/>
        <s v="Ifeanyi Obi"/>
        <s v="Ada Obi"/>
        <s v="Aisha Mohammed"/>
        <s v="Segun Ogunleye"/>
        <s v="Chinwe Okpara"/>
        <s v="Peter Ugwu"/>
        <s v="Hauwa Adamu"/>
        <s v="Bola Tinubu"/>
        <s v="Michael Eze"/>
        <s v="Usman Dangote"/>
        <s v="Grace Okoro"/>
        <s v="Adekunle Gold"/>
        <s v="Effiong James"/>
        <s v="Zainab Abubakar"/>
        <s v="Funke Akindele"/>
        <s v="Chukwudi Eze"/>
        <s v="Precious Jonathan"/>
        <s v="Amina Yusuf"/>
        <s v="Dayo Adenuga"/>
        <s v="Beatrice Nwankwo"/>
        <s v="Obinna Nwosu"/>
        <s v="Sani Bello"/>
        <s v="Temilade Openiyi"/>
        <s v="Chika Uche"/>
        <s v="Rashida Yakubu"/>
        <s v="Bobrisky Okuneye"/>
        <s v="Nnamdi Kanu"/>
        <s v="Patience Ozokwor"/>
        <s v="Ahmed Musa"/>
        <s v="Simi Kosoko"/>
        <s v="Adaobi Okoli"/>
        <s v="Fatima Suleiman"/>
        <s v="Femi Kuti"/>
        <s v="Tammy George"/>
        <s v="Hassan Shehu"/>
        <s v="Chinelo Aniekwe"/>
        <s v="Kizz Daniel"/>
        <s v="Edem Duke"/>
        <s v="Aisha Buhari"/>
        <s v="Wizkid Ayodele"/>
        <s v="Uche Jombo"/>
        <s v="Ovie Omo-Agege"/>
        <s v="Lawal Bala"/>
        <s v="Davido Adeleke"/>
        <s v="Chioma Akpotha"/>
        <s v="Finidi George"/>
        <s v="Nura Muhammad"/>
        <s v="Don Jazzy"/>
        <s v="Kate Henshaw"/>
        <s v="Goodluck Ebele"/>
        <s v="Zuwaira Ibrahim"/>
        <s v="Fireboy DML"/>
        <s v="Nyesom Wike"/>
        <s v="Rita Dominic"/>
        <s v="Sadiq Umar"/>
        <s v="Tiwa Savage"/>
        <s v="Mercy Johnson"/>
        <s v="Rabi Isah"/>
        <s v="Burna Boy"/>
        <s v="Genevieve Nnaji"/>
        <s v="Enoch Adeboye"/>
        <s v="Abdullahi Ganduje"/>
        <s v="Jide Kosoko"/>
        <s v="Peter Obi"/>
        <s v="Benedict Ayade"/>
        <s v="Aisha Aliyu"/>
        <s v="Cee-C"/>
        <s v="Ruth Kadiri"/>
        <s v="Bashir Tofa"/>
        <s v="Yemi Alade"/>
        <s v="Okechukwu Okonkwo"/>
        <s v="Ibinabo Fiberesima"/>
        <s v="Binta Musa"/>
        <s v="Patoranking"/>
        <s v="Nkem Owoh"/>
        <s v="Seriake Dickson"/>
        <s v="Gambo Sani"/>
        <s v="Rema"/>
        <s v="Chinedu Ikedieze"/>
        <s v="Ireti Doyle"/>
        <s v="Nasir El-Rufai"/>
        <s v="Asake"/>
        <s v="Osita Iheme"/>
        <s v="Omotola Jalade"/>
        <s v="Hadiza Bala"/>
        <s v="Banky W"/>
        <s v="Chiwetalu Agu"/>
        <s v="Patience Jonathan"/>
        <s v="Tanko Yakasai"/>
        <s v="Layi Wasabi"/>
        <s v="Sam Loco"/>
        <s v="Donald Duke"/>
        <s v="Magaji Dambatta"/>
        <s v="Naira Marley"/>
        <s v="Ini Edo"/>
        <s v="Charly Boy"/>
        <s v="Jaafar Jaafar"/>
        <s v="Mr Eazi"/>
        <s v="Zack Orji"/>
        <s v="Richard Mofe-Damijo"/>
        <s v="Rabiu Kwankwaso"/>
        <s v="Mayorkun"/>
        <s v="Viola Onwuliri"/>
        <s v="Rotimi Amaechi"/>
        <s v="Hannatu Musawa"/>
        <s v="9ice"/>
        <s v="Olu Jacobs"/>
        <s v="Liyel Imoke"/>
        <s v="Sani Abacha"/>
        <s v="Teni"/>
        <s v="John Okafor"/>
        <s v="Stephanie Okereke"/>
        <s v="Rilwanu Lukman"/>
        <s v="Joeboy"/>
        <s v="Ebelle Okaro"/>
        <s v="Garba Shehu"/>
        <s v="Brymo"/>
        <s v="Aki and Pawpaw"/>
        <s v="Timipre Sylva"/>
        <s v="Lawal Daura"/>
        <s v="Cobhams Asuquo"/>
        <s v="Pete Edochie"/>
        <s v="Kelechi Amadi"/>
        <s v="Aminu Kano"/>
        <s v="Falz"/>
        <s v="Kanayo O Kanayo"/>
        <s v="Jennifer Eliogu"/>
        <s v="Magaji Danbatta"/>
        <s v="Small Doctor"/>
        <s v="Osinachi Kalu"/>
        <s v="Nafisa Abdullahi"/>
        <s v="Chinko Ekun"/>
        <s v="Chika Chukwu"/>
        <s v="Beti Oku"/>
        <s v="Binta Garba"/>
        <s v="Qdot"/>
        <s v="Chacha Eke"/>
        <s v="John Dumelo"/>
        <s v="Sadiya Farouq"/>
        <s v="Bovi"/>
        <s v="Nedu Wazobia"/>
        <s v="Vera Sidika"/>
        <s v="Yusuf Bichi"/>
        <s v="Spyro"/>
        <s v="Ruth Okonkwo"/>
        <s v="Bello Matawalle"/>
        <s v="Simi"/>
        <s v="Chidi Mokeme"/>
        <s v="Jesse Jagz"/>
        <s v="Rukayya Tijjani"/>
        <s v="Seyi Shay"/>
        <s v="Yul Edochie"/>
        <s v="Diepreye Alamie"/>
        <s v="Surajo Aliyu"/>
        <s v="Adekunle Ayeni"/>
        <s v="Chimezie Ike"/>
        <s v="Becca Okoye"/>
        <s v="Bilyaminu Usman"/>
        <s v="Lyta"/>
        <s v="Somkele Idhalama"/>
        <s v="Michelle Dede"/>
        <s v="Fatima Ganduje"/>
        <s v="Broda Shaggi"/>
        <s v="Alexx Ekubo"/>
        <s v="Ibinabo Jack"/>
        <s v="Ahmadu Bello"/>
        <s v="Shaffy Bello"/>
        <s v="Nonso Diobi"/>
        <s v="Florence Ita-Giwa"/>
        <s v="Aliyu Wamakko"/>
        <s v="KCee"/>
        <s v="Chineyere Eze"/>
        <s v="Omoni Oboli"/>
        <s v="Suleiman Abba"/>
        <s v="Zlatan"/>
        <s v="Uche Odoputa"/>
        <s v="Clem Ohameze"/>
        <s v="Hafsat Abiola"/>
        <s v="Peruzzi"/>
        <s v="Jennifer Ugwu"/>
        <s v="George Beke"/>
        <s v="Rakiya Gambo"/>
        <s v="Reekado Banks"/>
        <s v="Monalisa Chinda"/>
        <s v="Henry Seriake"/>
        <s v="Mujahid Dokubo"/>
        <s v="Oxlade"/>
        <s v="Mary Njoku"/>
        <s v="King Waidi"/>
        <s v="Lawan Musa"/>
        <s v="Bella Shmurda"/>
        <s v="Ebere Okaro"/>
        <s v="Muna Obiekwe"/>
        <s v="Pasuma"/>
        <s v="Odogwu"/>
        <s v="Iyanya"/>
        <s v="Murtala"/>
        <s v="Sarkodie"/>
        <s v="Phyno"/>
        <s v="Oroko"/>
        <s v="Babatunde"/>
        <s v="Lil Kesh"/>
        <s v="Onyeka"/>
        <s v="Rayce"/>
        <s v="Ali Nuhu"/>
        <s v="Timi Dakolo"/>
        <s v="P-Square"/>
        <s v="Flavour"/>
        <s v="Jigan"/>
        <s v="Olamide"/>
        <s v="Chidinma"/>
        <s v="Timaya"/>
        <s v="Sadiq"/>
        <s v="Ruggedman"/>
        <s v="Ngozi"/>
        <s v="Shata"/>
        <s v="Idris"/>
        <s v="Terry G"/>
        <s v="Kenny"/>
        <s v="Duncan"/>
        <s v="Rabi"/>
        <s v="Solidstar"/>
        <s v="Eedris"/>
        <s v="Ay"/>
        <s v="Elenu"/>
        <s v="MC Galaxy"/>
        <s v="Chioma"/>
        <s v="Maryam"/>
        <s v="Seun Kuti"/>
        <s v="Nkem"/>
        <s v="King Perryy"/>
        <s v="Aisha"/>
        <s v="Skales"/>
        <s v="Emma"/>
        <s v="Erigga"/>
        <s v="Binta"/>
        <s v="CDQ"/>
        <s v="Prince"/>
        <s v="Duncan Mighty"/>
        <s v="Amina"/>
        <s v="Larry Gaaga"/>
        <s v="Slowdog"/>
        <s v="Zoro"/>
        <s v="Sani"/>
        <s v="Mi"/>
        <s v="Chigul"/>
        <s v="Harrysong"/>
        <s v="Rahama"/>
        <s v="Korede Bello"/>
        <s v="Nancy"/>
        <s v="Victor"/>
        <s v="Nas"/>
        <s v="Shawn"/>
        <s v="Ada"/>
        <s v="Ernest"/>
        <s v="Lawan"/>
        <s v="Runtown"/>
        <s v="Jide"/>
        <s v="Tonto"/>
        <s v="Halima"/>
        <s v="Dremo"/>
        <s v="Agbani"/>
        <s v="Yakubu"/>
        <s v="Okonkwo"/>
        <s v="Kaffy"/>
        <s v="Fatima"/>
        <s v="Seyi"/>
        <s v="Kelechi"/>
        <s v="Ibinabo"/>
        <s v="Ahmad"/>
        <s v="Lil Frosh"/>
        <s v="Nonso"/>
        <s v="Benedict"/>
        <s v="Rukayya"/>
        <s v="TeeZee"/>
        <s v="Omawumi"/>
        <s v="Bashir"/>
        <s v="Chinko"/>
        <s v="Obinna"/>
        <s v="Dakore"/>
        <s v="Zainab"/>
        <s v="Bankulli"/>
        <s v="Faze"/>
        <s v="Shank"/>
        <s v="Khadija"/>
        <s v="Young John"/>
        <s v="Nosa"/>
        <s v="Debbie"/>
        <s v="Sabina"/>
        <s v="Peri"/>
        <s v="Chinedu"/>
        <s v="Monalisa"/>
        <s v="Mairo"/>
        <s v="Pheelz"/>
        <s v="JJC"/>
        <s v="Becca"/>
        <s v="Nasiru"/>
        <s v="Mo'Cheddah"/>
        <s v="Choc"/>
        <s v="Rahinatu"/>
        <s v="May D"/>
        <s v="Bright"/>
        <s v="Judy"/>
        <s v="Nikki"/>
        <s v="Oma"/>
        <s v="Hussaina"/>
        <s v="Sasha"/>
        <s v="Kofi"/>
        <s v="Sunny"/>
        <s v="Aliyu"/>
        <s v="DJ Neptune"/>
        <s v="Nelly"/>
        <s v="Genevieve"/>
        <s v="Mariya"/>
        <s v="Sterling"/>
        <s v="Ego"/>
        <s v="Okon"/>
        <s v="Labaran"/>
        <s v="Eva"/>
        <s v="George"/>
        <s v="Pat"/>
        <s v="Rakiya"/>
        <s v="Shina"/>
        <s v="Chuka"/>
        <s v="Peace"/>
        <s v="Musa"/>
        <s v="Jidenna"/>
        <s v="Uche"/>
        <s v="Finest"/>
        <s v="Aminat"/>
      </sharedItems>
    </cacheField>
    <cacheField name="Product Category" numFmtId="0">
      <sharedItems count="4">
        <s v="Electronics"/>
        <s v="Clothing"/>
        <s v="Food"/>
        <s v="Furniture"/>
      </sharedItems>
    </cacheField>
    <cacheField name="Product" numFmtId="0">
      <sharedItems count="497">
        <s v="Smartphone"/>
        <s v="Denim Jeans"/>
        <s v="Rice (5kg)"/>
        <s v="Office Chair"/>
        <s v="Laptop"/>
        <s v="Sneakers"/>
        <s v="Vegetable Oil (5L)"/>
        <s v="Headphones"/>
        <s v="Dining Table"/>
        <s v="Traditional Dress"/>
        <s v="Bread Loaf"/>
        <s v="Power Bank"/>
        <s v="Shirts"/>
        <s v="Bookshelf"/>
        <s v="Milk (1L)"/>
        <s v="Tablet"/>
        <s v="Jackets"/>
        <s v="Sugar (1kg)"/>
        <s v="Mattress"/>
        <s v="Smartwatch"/>
        <s v="Polo T-shirts"/>
        <s v="Pasta (500g)"/>
        <s v="Study Desk"/>
        <s v="Bluetooth Speaker"/>
        <s v="Shorts"/>
        <s v="Chicken (whole)"/>
        <s v="Printer"/>
        <s v="Sweaters"/>
        <s v="Sofa Set"/>
        <s v="Beans (2kg)"/>
        <s v="USB Drive"/>
        <s v="Hats"/>
        <s v="Yam (tuber)"/>
        <s v="Wardrobe"/>
        <s v="Monitor"/>
        <s v="Gowns"/>
        <s v="Groundnut Oil (2L)"/>
        <s v="Earphones"/>
        <s v="Coffee Table"/>
        <s v="Maize Flour (1kg)"/>
        <s v="Jeans"/>
        <s v="Router"/>
        <s v="Tomato Paste (70g)"/>
        <s v="TV Stand"/>
        <s v="Charger"/>
        <s v="Blazers"/>
        <s v="Orange Juice (1L)"/>
        <s v="Smart TV"/>
        <s v="Recliner Chair"/>
        <s v="Socks"/>
        <s v="Cabbage (head)"/>
        <s v="Webcam"/>
        <s v="Skirts"/>
        <s v="Tea Bags (100pk)"/>
        <s v="Keyboard"/>
        <s v="Pajamas"/>
        <s v="Office Desk"/>
        <s v="Onions (1kg)"/>
        <s v="Mouse"/>
        <s v="Ties"/>
        <s v="Bed Frame"/>
        <s v="Corn Flakes (500g)"/>
        <s v="Camera"/>
        <s v="Bags"/>
        <s v="Spaghetti (500g)"/>
        <s v="Microphone"/>
        <s v="Dressing Table"/>
        <s v="Suits"/>
        <s v="Garri (2kg)"/>
        <s v="Projector"/>
        <s v="Underwear"/>
        <s v="Cabinets"/>
        <s v="Semovita (1kg)"/>
        <s v="Fitness Tracker"/>
        <s v="Sunglasses"/>
        <s v="Honey (500ml)"/>
        <s v="Nightstand"/>
        <s v="Extension Cord"/>
        <s v="Kimono"/>
        <s v="Sausages"/>
        <s v="Drone"/>
        <s v="Shoe Rack"/>
        <s v="Belts"/>
        <s v="Peanuts (500g)"/>
        <s v="Smart Bulb"/>
        <s v="Wall Shelf"/>
        <s v="Scarves"/>
        <s v="Indomie Noodles"/>
        <s v="VR Headset"/>
        <s v="Plant Stand"/>
        <s v="Leggings"/>
        <s v="Custard (500g)"/>
        <s v="Portable SSD"/>
        <s v="Magazine Rack"/>
        <s v="Caps"/>
        <s v="Potato (1kg)"/>
        <s v="Calculator"/>
        <s v="Tank Tops"/>
        <s v="Floor Lamp"/>
        <s v="Coconut Oil (500ml)"/>
        <s v="Phone Case"/>
        <s v="Cardigans"/>
        <s v="Bean Bag"/>
        <s v="Yogurt (1L)"/>
        <s v="Screen Protector"/>
        <s v="Tuxedos"/>
        <s v="Bar Stool"/>
        <s v="Chocolate Spread"/>
        <s v="HDMI Cable"/>
        <s v="Gloves"/>
        <s v="Wall Art"/>
        <s v="Biscuit Pack"/>
        <s v="Adapter"/>
        <s v="Vests"/>
        <s v="Welcome Mat"/>
        <s v="Canned Beans"/>
        <s v="USB Hub"/>
        <s v="Bow Ties"/>
        <s v="Clothes Hamper"/>
        <s v="Soya Milk (1L)"/>
        <s v="Laptop Stand"/>
        <s v="Booties"/>
        <s v="Sardines"/>
        <s v="Webcam Cover"/>
        <s v="Playpen"/>
        <s v="Aprons"/>
        <s v="Palm Oil (1L)"/>
        <s v="Braille Display"/>
        <s v="Agbada"/>
        <s v="Pet Bed"/>
        <s v="Ginger Powder"/>
        <s v="Soundbar"/>
        <s v="Cravats"/>
        <s v="Key Holder"/>
        <s v="Chili Sauce"/>
        <s v="Selfie Stick"/>
        <s v="Slippers"/>
        <s v="Cake Mix"/>
        <s v="TV Remote"/>
        <s v="Coat Rack"/>
        <s v="Hand Fans"/>
        <s v="Popcorn Kernels"/>
        <s v="Gaming Chair"/>
        <s v="Ponchos"/>
        <s v="Vanity Mirror"/>
        <s v="Lentils (1kg)"/>
        <s v="Desk Lamp"/>
        <s v="Face Masks"/>
        <s v="Fireplace"/>
        <s v="Cereal Bars"/>
        <s v="Cable Organizer"/>
        <s v="Tracksuits"/>
        <s v="Pepper (ground)"/>
        <s v="Battery Pack"/>
        <s v="Air Purifier"/>
        <s v="Raincoat"/>
        <s v="Dried Fish"/>
        <s v="Digital Scale"/>
        <s v="Biker Jacket"/>
        <s v="Hammock"/>
        <s v="Coffee Beans"/>
        <s v="Tripod"/>
        <s v="Leather Pants"/>
        <s v="Laundry Basket"/>
        <s v="Margarine"/>
        <s v="Clock Radio"/>
        <s v="Overall"/>
        <s v="Wine Rack"/>
        <s v="Turmeric Powder"/>
        <s v="Phone Stand"/>
        <s v="Suspenders"/>
        <s v="Footstool"/>
        <s v="Pita Bread"/>
        <s v="Fan"/>
        <s v="Kaftans"/>
        <s v="Chandelier"/>
        <s v="Vanilla Extract"/>
        <s v="Graphics Tablet"/>
        <s v="Leotards"/>
        <s v="Wall Clock"/>
        <s v="Cashews"/>
        <s v="Video Light"/>
        <s v="Rompers"/>
        <s v="Pet Crate"/>
        <s v="BBQ Sauce"/>
        <s v="Airpods Clone"/>
        <s v="Flannel Shirt"/>
        <s v="Storage Ottoman"/>
        <s v="Plantain Chips"/>
        <s v="Bluetooth Tracker"/>
        <s v="Polo Dress"/>
        <s v="Bean Bag Chair"/>
        <s v="Whipped Cream"/>
        <s v="Smart Plug"/>
        <s v="Jumpsuit"/>
        <s v="Magazine Sub"/>
        <s v="Jam Jar"/>
        <s v="Cooling Pad"/>
        <s v="Hoodies"/>
        <s v="iPhone 15 Pro Max"/>
        <s v="Gucci Belt Replica"/>
        <s v="Frozen Chicken (crate)"/>
        <s v="Executive Leather Sofa"/>
        <s v="Gaming Laptop RTX 4090"/>
        <s v="Custom Wedding Gown"/>
        <s v="Goat (whole)"/>
        <s v="PS5 Console"/>
        <s v="Massage Chair"/>
        <s v="Designer Handbag (Original)"/>
        <s v="Cow (whole)"/>
        <s v="Solar Inverter 5KVA"/>
        <s v="Crocs Bulk"/>
        <s v="Sectional Sofa"/>
        <s v="Cooking Gas Cylinder (12.5kg)"/>
        <s v="MacBook Pro M3"/>
        <s v="Native Senator Wear"/>
        <s v="Semovita (50kg bag)"/>
        <s v="King Size Bed Frame"/>
        <s v="Air Conditioner 1.5HP"/>
        <s v="School Uniforms (bulk)"/>
        <s v="Yam Tuber (per crate)"/>
        <s v="Office Cubicle Set"/>
        <s v="Generator 2.5KVA"/>
        <s v="Rainboots"/>
        <s v="Palm Oil (25L keg)"/>
        <s v="CCTV Camera Kit"/>
        <s v="Sequin Party Gowns"/>
        <s v="Folding Dining Table"/>
        <s v="Fresh Tomatoes (crate)"/>
        <s v="Portable Bluetooth Speaker (JBL)"/>
        <s v="Traditional Beads (bulk)"/>
        <s v="Onions (50kg bag)"/>
        <s v="Makeup Vanity with Lights"/>
        <s v="Power Bank 50000mAh"/>
        <s v="Ankara Fabrics (6 yards)"/>
        <s v="Vegetable Oil (25L keg)"/>
        <s v="Tesla Phone (fake)"/>
        <s v="Crib for Twins"/>
        <s v="Garri (Ihutech 50kg)"/>
        <s v="Batakari (Fugu)"/>
        <s v="Smart TV 65 inch"/>
        <s v="Kilishi (spiced meat)"/>
        <s v="Wall-mounted Bookshelf"/>
        <s v="Samsung Galaxy Z Fold 6"/>
        <s v="Wedding Aso Ebi (100 pieces)"/>
        <s v="Fura da Nono (ready-to-drink)"/>
        <s v="Home Theatre System"/>
        <s v="Study Table with Drawer"/>
        <s v="Cowboy Hats"/>
        <s v="Groundnut (sack)"/>
        <s v="Drone with Camera"/>
        <s v="Leather Sandals (bulk)"/>
        <s v="Patio Umbrella"/>
        <s v="Milk Powder (25kg)"/>
        <s v="Studio Headphones"/>
        <s v="Maternity Dresses"/>
        <s v="Outdoor Rocking Chair"/>
        <s v="Sugar (50kg bag)"/>
        <s v="Mechanical Keyboard"/>
        <s v="Police Uniform (illegal)"/>
        <s v="Makeup Storage Drawer"/>
        <s v="Corn Flakes (wholesale pack)"/>
        <s v="Smartwatch Ultra"/>
        <s v="Swimsuits"/>
        <s v="Spaghetti (carton)"/>
        <s v="Portable Generator (solar)"/>
        <s v="Divider Screen"/>
        <s v="Bible Cover (leather)"/>
        <s v="Rice (50kg bag)"/>
        <s v="Webcam 4K"/>
        <s v="Okrika Jeans (bale)"/>
        <s v="Wall Clock (luxury)"/>
        <s v="Peak Milk Tin"/>
        <s v="DJI Mini Drone"/>
        <s v="Corset Tops"/>
        <s v="Honey (5L bucket)"/>
        <s v="Gaming Desk"/>
        <s v="Router Mesh System"/>
        <s v="Sequin Skirt"/>
        <s v="Crayfish (5kg)"/>
        <s v="Smart Ring"/>
        <s v="Plastic Chair (dozen)"/>
        <s v="Fishing Boots"/>
        <s v="Dried Pepper (sack)"/>
        <s v="Smart Light Strip"/>
        <s v="Children's Study Desk"/>
        <s v="Headwrap (gele)"/>
        <s v="Broken Rice (50kg)"/>
        <s v="Phone Cooler"/>
        <s v="Plastic Drawer Unit"/>
        <s v="Kimono Robe"/>
        <s v="Yogurt Drink (carton)"/>
        <s v="USB-C Hub"/>
        <s v="Wooden Stool"/>
        <s v="Evening Gown"/>
        <s v="Maize (50kg bag)"/>
        <s v="Cable Ties"/>
        <s v="Bowler Hat"/>
        <s v="Bamboo Shelf"/>
        <s v="Wheat Flour (50kg)"/>
        <s v="Fake AirPods Max"/>
        <s v="Surgical Mask (bulk)"/>
        <s v="Revolving Chair"/>
        <s v="Soya Beans (bag)"/>
        <s v="Screen Cleaning Kit"/>
        <s v="Agogo (traditional hat)"/>
        <s v="Glass Center Table"/>
        <s v="Golden Morn (carton)"/>
        <s v="Selfie Ring Light"/>
        <s v="Church Hat (fascinator)"/>
        <s v="Glass Bookcase"/>
        <s v="Coconut (bag)"/>
        <s v="Laptop Cooling Fan"/>
        <s v="Sweatband"/>
        <s v="Floor Mat (woven)"/>
        <s v="Custard Powder (carton)"/>
        <s v="Streaming Microphone"/>
        <s v="Fez Cap"/>
        <s v="Storage Cubes"/>
        <s v="Bournvita (carton)"/>
        <s v="Phone Grip Holder"/>
        <s v="Waist Beads (roll)"/>
        <s v="Moroccan Pouf"/>
        <s v="Dash Cam"/>
        <s v="School Bag (dozen)"/>
        <s v="Catfish (live kg)"/>
        <s v="Projector Screen"/>
        <s v="Singlets (vests)"/>
        <s v="TV Wall Mount"/>
        <s v="Suya Spice (kg)"/>
        <s v="VR Glasses"/>
        <s v="Gladiator Sandals"/>
        <s v="Laundry Hamper"/>
        <s v="Irish Potato (bag)"/>
        <s v="USB Desk Fan"/>
        <s v="Flip Flops (bulk)"/>
        <s v="Drawer Organizer"/>
        <s v="Raspberry Pi"/>
        <s v="Baseball Cap"/>
        <s v="Plantain (bunch)"/>
        <s v="Smart Doorbell"/>
        <s v="Silk Pajamas"/>
        <s v="Floating Shelf"/>
        <s v="Orange (crate)"/>
        <s v="Wireless Presenter"/>
        <s v="Boxer Shorts (pack)"/>
        <s v="Invisible Bookshelf"/>
        <s v="Canned Tomatoes (carton)"/>
        <s v="Mouse Pad (gaming)"/>
        <s v="Crop Top"/>
        <s v="Shoe Cabinet"/>
        <s v="Car Charger"/>
        <s v="Tie-dye T-shirt"/>
        <s v="Bitter Kola (bag)"/>
        <s v="Walkie Talkie"/>
        <s v="Caps (bulk)"/>
        <s v="Picnic Basket"/>
        <s v="Chin Chin (carton)"/>
        <s v="Digital Thermometer"/>
        <s v="Singlet (muscle)"/>
        <s v="Hat Rack"/>
        <s v="Dabino (dates)"/>
        <s v="Phone Lens Kit"/>
        <s v="Leg Warmers"/>
        <s v="Pet Bowl (set)"/>
        <s v="Kunun Aya (bottle)"/>
        <s v="LED Strip"/>
        <s v="Bandanas"/>
        <s v="Hanging Planter"/>
        <s v="Evaporated Milk (carton)"/>
        <s v="Game Controller"/>
        <s v="Scrunchies"/>
        <s v="Wine Glass Set"/>
        <s v="Pounded Yam Flour (10kg)"/>
        <s v="Car FM Transmitter"/>
        <s v="Suspenders (bulk)"/>
        <s v="Key Safe"/>
        <s v="Ginger (bulk kg)"/>
        <s v="Antenna Booster"/>
        <s v="Face Paint (set)"/>
        <s v="Drawer Pulls (box)"/>
        <s v="Melon (egusi)"/>
        <s v="USB Light"/>
        <s v="Wristbands"/>
        <s v="Watermelon (cart)"/>
        <s v="Cable Clip"/>
        <s v="Wall Decal (roll)"/>
        <s v="Tutu Skirt"/>
        <s v="Ceiling Light"/>
        <s v="Drinking Straw (carton)"/>
        <s v="Phone PoP Socket"/>
        <s v="Hand Muff"/>
        <s v="Doormat (jute)"/>
        <s v="Black Pepper (kg)"/>
        <s v="Phone Ring Holder"/>
        <s v="Neck Gaiter"/>
        <s v="Paper Towel Holder"/>
        <s v="Thyme (kg)"/>
        <s v="Finger Sleeve (gaming)"/>
        <s v="Cummerbund"/>
        <s v="Trivet Set"/>
        <s v="Curry Powder (kg)"/>
        <s v="HDMI Switch"/>
        <s v="Hair Scarf"/>
        <s v="Candle Holder"/>
        <s v="Nutmeg (kg)"/>
        <s v="Glasses Chain"/>
        <s v="Soap Dispenser"/>
        <s v="Cinnamon (kg)"/>
        <s v="Pop-up Camera"/>
        <s v="Bow Tie (self-tie)"/>
        <s v="Coat Hook (set)"/>
        <s v="Cloves (kg)"/>
        <s v="Magnetic Cable"/>
        <s v="Button Pin"/>
        <s v="Ice Cube Tray"/>
        <s v="Bay Leaves (kg)"/>
        <s v="Car Phone Mount"/>
        <s v="Fishnet Stockings"/>
        <s v="Paper Plate Holder"/>
        <s v="Cake Sprinkles (box)"/>
        <s v="Laptop Sticker"/>
        <s v="Waist Trainer"/>
        <s v="Fridge Organizer"/>
        <s v="Food Color (set)"/>
        <s v="Suspenders (kids)"/>
        <s v="Cup Holder"/>
        <s v="Baking Soda (kg)"/>
        <s v="Extension Cord (1m)"/>
        <s v="Tutu Dress"/>
        <s v="Mosquito Net"/>
        <s v="Vanilla Pods (kg)"/>
        <s v="Screen Cleaner Spray"/>
        <s v="Headband (sports)"/>
        <s v="Wall-mounted Bottle Opener"/>
        <s v="Poppy Seeds (kg)"/>
        <s v="Phone Kickstand"/>
        <s v="Hair Clips (set)"/>
        <s v="Trash Can (mini)"/>
        <s v="Saffron (g)"/>
        <s v="USB Hub (basic)"/>
        <s v="Face Shield"/>
        <s v="Shower Curtain"/>
        <s v="Condensed Milk (tin)"/>
        <s v="Smartphone Gimbal"/>
        <s v="Kitchen Apron"/>
        <s v="Coat Rack (standing)"/>
        <s v="Popcorn Machine"/>
        <s v="Tripod (phone)"/>
        <s v="Swim Cap"/>
        <s v="Foam Roller"/>
        <s v="Ice Cream Maker"/>
        <s v="HDMI Cable (braided)"/>
        <s v="Ballet Skirt"/>
        <s v="Shoe Horn"/>
        <s v="Blender Bottle"/>
        <s v="Desk Clamp Fan"/>
        <s v="Cycling Jersey"/>
        <s v="Wall-mounted Towel Rack"/>
        <s v="Juice Extractor"/>
        <s v="USB Rechargeable Light"/>
        <s v="Fanny Pack"/>
        <s v="Drawer Knobs (set)"/>
        <s v="Toaster (sandwich)"/>
        <s v="Bluetooth Adapter"/>
        <s v="Ski Mask"/>
        <s v="Cake Stand"/>
        <s v="Waffle Maker"/>
        <s v="Macro Lens (phone)"/>
        <s v="Poncho (rain)"/>
        <s v="Popcorn Maker"/>
        <s v="AirPods Case"/>
        <s v="Harness (fashion)"/>
        <s v="Magazine Rack (wire)"/>
        <s v="Crepe Maker"/>
        <s v="Cable Management Box"/>
        <s v="Fanny Pack (leather)"/>
        <s v="Toilet Brush Holder"/>
        <s v="Fondue Set"/>
        <s v="Phone Stand (car)"/>
        <s v="Bowler Hat (mini)"/>
        <s v="Pot Lid Organizer"/>
        <s v="Milk Frother"/>
        <s v="Desk Mat"/>
        <s v="Cummerbund (kids)"/>
        <s v="Spice Rack"/>
        <s v="Tea Infuser"/>
        <s v="Cable Sleeve"/>
        <s v="Gloves (lacy)"/>
        <s v="Soap Dish"/>
        <s v="Measuring Cups"/>
        <s v="USB LED Light"/>
        <s v="Shawl"/>
        <s v="Napkin Holder"/>
        <s v="Egg Slicer"/>
        <s v="Phone Grip Ring"/>
        <s v="Hair Turban"/>
      </sharedItems>
    </cacheField>
    <cacheField name="Units Sold" numFmtId="0">
      <sharedItems containsSemiMixedTypes="0" containsString="0" containsNumber="1" containsInteger="1" minValue="0" maxValue="5000" count="51">
        <n v="12"/>
        <n v="45"/>
        <n v="200"/>
        <n v="8"/>
        <n v="5"/>
        <n v="30"/>
        <n v="150"/>
        <n v="50"/>
        <n v="4"/>
        <n v="25"/>
        <n v="300"/>
        <n v="40"/>
        <n v="60"/>
        <n v="6"/>
        <n v="180"/>
        <n v="10"/>
        <n v="15"/>
        <n v="250"/>
        <n v="3"/>
        <n v="80"/>
        <n v="400"/>
        <n v="7"/>
        <n v="35"/>
        <n v="55"/>
        <n v="90"/>
        <n v="20"/>
        <n v="2"/>
        <n v="100"/>
        <n v="70"/>
        <n v="18"/>
        <n v="120"/>
        <n v="500"/>
        <n v="110"/>
        <n v="75"/>
        <n v="22"/>
        <n v="350"/>
        <n v="220"/>
        <n v="65"/>
        <n v="95"/>
        <n v="85"/>
        <n v="9"/>
        <n v="1"/>
        <n v="130"/>
        <n v="14"/>
        <n v="11"/>
        <n v="16"/>
        <n v="28"/>
        <n v="1000"/>
        <n v="600"/>
        <n v="800"/>
        <n v="5000"/>
      </sharedItems>
    </cacheField>
    <cacheField name="Revenue" numFmtId="182">
      <sharedItems containsSemiMixedTypes="0" containsString="0" containsNumber="1" containsInteger="1" minValue="0" maxValue="125000000" count="110">
        <n v="1250000"/>
        <n v="675000"/>
        <n v="2000000"/>
        <n v="800000"/>
        <n v="2500000"/>
        <n v="900000"/>
        <n v="1875000"/>
        <n v="750000"/>
        <n v="600000"/>
        <n v="625000"/>
        <n v="400000"/>
        <n v="450000"/>
        <n v="1080000"/>
        <n v="1000000"/>
        <n v="525000"/>
        <n v="412500"/>
        <n v="1125000"/>
        <n v="500000"/>
        <n v="280000"/>
        <n v="1500000"/>
        <n v="630000"/>
        <n v="360000"/>
        <n v="250000"/>
        <n v="320000"/>
        <n v="660000"/>
        <n v="1200000"/>
        <n v="180000"/>
        <n v="437500"/>
        <n v="225000"/>
        <n v="200000"/>
        <n v="350000"/>
        <n v="700000"/>
        <n v="550000"/>
        <n v="875000"/>
        <n v="300000"/>
        <n v="375000"/>
        <n v="770000"/>
        <n v="325000"/>
        <n v="160000"/>
        <n v="120000"/>
        <n v="237500"/>
        <n v="125000"/>
        <n v="212500"/>
        <n v="270000"/>
        <n v="487500"/>
        <n v="480000"/>
        <n v="245000"/>
        <n v="240000"/>
        <n v="275000"/>
        <n v="175000"/>
        <n v="105000"/>
        <n v="187500"/>
        <n v="330000"/>
        <n v="150000"/>
        <n v="87500"/>
        <n v="137500"/>
        <n v="100000"/>
        <n v="162500"/>
        <n v="127500"/>
        <n v="312500"/>
        <n v="195000"/>
        <n v="165000"/>
        <n v="357500"/>
        <n v="140000"/>
        <n v="75000"/>
        <n v="420000"/>
        <n v="125000000"/>
        <n v="7500000"/>
        <n v="5000000"/>
        <n v="16000000"/>
        <n v="1800000"/>
        <n v="12500000"/>
        <n v="5400000"/>
        <n v="3500000"/>
        <n v="13500000"/>
        <n v="2800000"/>
        <n v="4500000"/>
        <n v="70000000"/>
        <n v="3000000"/>
        <n v="8000000"/>
        <n v="9000000"/>
        <n v="3125000"/>
        <n v="6000000"/>
        <n v="3600000"/>
        <n v="2100000"/>
        <n v="4000000"/>
        <n v="1600000"/>
        <n v="2400000"/>
        <n v="15000000"/>
        <n v="8400000"/>
        <n v="18000000"/>
        <n v="1350000"/>
        <n v="1050000"/>
        <n v="1750000"/>
        <n v="50000000"/>
        <n v="720000"/>
        <n v="2250000"/>
        <n v="20000000"/>
        <n v="540000"/>
        <n v="3750000"/>
        <n v="210000"/>
        <n v="90000"/>
        <n v="80000"/>
        <n v="60000"/>
        <n v="112500"/>
        <n v="50000"/>
        <n v="52500"/>
        <n v="135000"/>
        <n v="70000"/>
        <n v="30000"/>
      </sharedItems>
    </cacheField>
    <cacheField name="Profit" numFmtId="182">
      <sharedItems containsSemiMixedTypes="0" containsString="0" containsNumber="1" containsInteger="1" minValue="0" maxValue="18750000" count="131">
        <n v="250000"/>
        <n v="135000"/>
        <n v="400000"/>
        <n v="160000"/>
        <n v="375000"/>
        <n v="180000"/>
        <n v="150000"/>
        <n v="90000"/>
        <n v="125000"/>
        <n v="80000"/>
        <n v="120000"/>
        <n v="67500"/>
        <n v="216000"/>
        <n v="78750"/>
        <n v="200000"/>
        <n v="105000"/>
        <n v="82500"/>
        <n v="225000"/>
        <n v="60000"/>
        <n v="100000"/>
        <n v="56000"/>
        <n v="300000"/>
        <n v="112500"/>
        <n v="126000"/>
        <n v="72000"/>
        <n v="37500"/>
        <n v="48000"/>
        <n v="132000"/>
        <n v="36000"/>
        <n v="87500"/>
        <n v="33750"/>
        <n v="50000"/>
        <n v="45000"/>
        <n v="40000"/>
        <n v="52500"/>
        <n v="140000"/>
        <n v="110000"/>
        <n v="175000"/>
        <n v="75000"/>
        <n v="56250"/>
        <n v="154000"/>
        <n v="65000"/>
        <n v="32000"/>
        <n v="27000"/>
        <n v="18000"/>
        <n v="47500"/>
        <n v="25000"/>
        <n v="42500"/>
        <n v="40500"/>
        <n v="97500"/>
        <n v="70000"/>
        <n v="96000"/>
        <n v="36750"/>
        <n v="55000"/>
        <n v="35000"/>
        <n v="21000"/>
        <n v="28125"/>
        <n v="66000"/>
        <n v="22500"/>
        <n v="24000"/>
        <n v="13125"/>
        <n v="27500"/>
        <n v="20000"/>
        <n v="32500"/>
        <n v="54000"/>
        <n v="30000"/>
        <n v="25500"/>
        <n v="64000"/>
        <n v="62500"/>
        <n v="15000"/>
        <n v="39000"/>
        <n v="17500"/>
        <n v="24750"/>
        <n v="26250"/>
        <n v="71500"/>
        <n v="28000"/>
        <n v="11250"/>
        <n v="84000"/>
        <n v="18750000"/>
        <n v="1500000"/>
        <n v="750000"/>
        <n v="2400000"/>
        <n v="360000"/>
        <n v="2500000"/>
        <n v="810000"/>
        <n v="525000"/>
        <n v="2700000"/>
        <n v="1125000"/>
        <n v="500000"/>
        <n v="420000"/>
        <n v="900000"/>
        <n v="10500000"/>
        <n v="450000"/>
        <n v="1600000"/>
        <n v="270000"/>
        <n v="1350000"/>
        <n v="1000000"/>
        <n v="625000"/>
        <n v="187500"/>
        <n v="240000"/>
        <n v="720000"/>
        <n v="281250"/>
        <n v="600000"/>
        <n v="800000"/>
        <n v="675000"/>
        <n v="480000"/>
        <n v="3000000"/>
        <n v="560000"/>
        <n v="1260000"/>
        <n v="202500"/>
        <n v="93750"/>
        <n v="210000"/>
        <n v="63000"/>
        <n v="350000"/>
        <n v="10000000"/>
        <n v="144000"/>
        <n v="320000"/>
        <n v="4000000"/>
        <n v="108000"/>
        <n v="18750"/>
        <n v="42000"/>
        <n v="12000"/>
        <n v="13500"/>
        <n v="16000"/>
        <n v="10000"/>
        <n v="7500"/>
        <n v="7875"/>
        <n v="9000"/>
        <n v="14000"/>
        <n v="10500"/>
        <n v="4500"/>
      </sharedItems>
    </cacheField>
    <cacheField name="Discount (%)" numFmtId="0">
      <sharedItems containsSemiMixedTypes="0" containsString="0" containsNumber="1" containsInteger="1" minValue="0" maxValue="25" count="9">
        <n v="5"/>
        <n v="0"/>
        <n v="10"/>
        <n v="15"/>
        <n v="20"/>
        <n v="8"/>
        <n v="12"/>
        <n v="18"/>
        <n v="25"/>
      </sharedItems>
    </cacheField>
    <cacheField name="Shipping Cost" numFmtId="182">
      <sharedItems containsSemiMixedTypes="0" containsString="0" containsNumber="1" containsInteger="1" minValue="0" maxValue="1000000" count="38">
        <n v="25000"/>
        <n v="15000"/>
        <n v="50000"/>
        <n v="30000"/>
        <n v="40000"/>
        <n v="20000"/>
        <n v="60000"/>
        <n v="10000"/>
        <n v="45000"/>
        <n v="12000"/>
        <n v="8000"/>
        <n v="18000"/>
        <n v="35000"/>
        <n v="22000"/>
        <n v="55000"/>
        <n v="28000"/>
        <n v="14000"/>
        <n v="16000"/>
        <n v="32000"/>
        <n v="6000"/>
        <n v="5000"/>
        <n v="4000"/>
        <n v="3000"/>
        <n v="500000"/>
        <n v="200000"/>
        <n v="150000"/>
        <n v="120000"/>
        <n v="80000"/>
        <n v="250000"/>
        <n v="180000"/>
        <n v="100000"/>
        <n v="400000"/>
        <n v="70000"/>
        <n v="300000"/>
        <n v="1000000"/>
        <n v="600000"/>
        <n v="2000"/>
        <n v="1000"/>
      </sharedItems>
    </cacheField>
    <cacheField name="Sales Channel" numFmtId="0">
      <sharedItems count="3">
        <s v="Online"/>
        <s v="Retail"/>
        <s v="Wholesale"/>
      </sharedItems>
    </cacheField>
    <cacheField name="Month" numFmtId="0">
      <sharedItems count="10">
        <s v="January"/>
        <s v="February"/>
        <s v="March"/>
        <s v="April"/>
        <s v="May"/>
        <s v="June"/>
        <s v="July"/>
        <s v="August"/>
        <s v="September"/>
        <s v="October"/>
      </sharedItems>
    </cacheField>
    <cacheField name="Quarter" numFmtId="0">
      <sharedItems count="4">
        <s v="Q1"/>
        <s v="Q2"/>
        <s v="Q3"/>
        <s v="Q4"/>
      </sharedItems>
    </cacheField>
    <cacheField name="Year" numFmtId="0">
      <sharedItems containsSemiMixedTypes="0" containsString="0" containsNumber="1" containsInteger="1" minValue="0" maxValue="2024" count="1">
        <n v="2024"/>
      </sharedItems>
    </cacheField>
    <cacheField name="Profit Margin%" numFmtId="10">
      <sharedItems containsSemiMixedTypes="0" containsString="0" containsNumber="1" minValue="0" maxValue="0.2" count="2">
        <n v="0.2"/>
        <n v="0.15"/>
      </sharedItems>
    </cacheField>
    <cacheField name="Revenue Target" numFmtId="182">
      <sharedItems containsSemiMixedTypes="0" containsString="0" containsNumber="1" containsInteger="1" minValue="0" maxValue="137500000" count="110">
        <n v="1375000"/>
        <n v="742500"/>
        <n v="2200000"/>
        <n v="880000"/>
        <n v="2750000"/>
        <n v="990000"/>
        <n v="2062500"/>
        <n v="825000"/>
        <n v="660000"/>
        <n v="687500"/>
        <n v="440000"/>
        <n v="495000"/>
        <n v="1188000"/>
        <n v="1100000"/>
        <n v="577500"/>
        <n v="453750"/>
        <n v="1237500"/>
        <n v="550000"/>
        <n v="308000"/>
        <n v="1650000"/>
        <n v="693000"/>
        <n v="396000"/>
        <n v="275000"/>
        <n v="352000"/>
        <n v="726000"/>
        <n v="1320000"/>
        <n v="198000"/>
        <n v="481250"/>
        <n v="247500"/>
        <n v="220000"/>
        <n v="385000"/>
        <n v="770000"/>
        <n v="605000"/>
        <n v="962500"/>
        <n v="330000"/>
        <n v="412500"/>
        <n v="847000"/>
        <n v="357500"/>
        <n v="176000"/>
        <n v="132000"/>
        <n v="261250"/>
        <n v="137500"/>
        <n v="233750"/>
        <n v="297000"/>
        <n v="536250"/>
        <n v="528000"/>
        <n v="269500"/>
        <n v="264000"/>
        <n v="302500"/>
        <n v="192500"/>
        <n v="115500"/>
        <n v="206250"/>
        <n v="363000"/>
        <n v="165000"/>
        <n v="96250"/>
        <n v="151250"/>
        <n v="110000"/>
        <n v="178750"/>
        <n v="140250"/>
        <n v="343750"/>
        <n v="214500"/>
        <n v="181500"/>
        <n v="393250"/>
        <n v="154000"/>
        <n v="82500"/>
        <n v="462000"/>
        <n v="137500000"/>
        <n v="8250000"/>
        <n v="5500000"/>
        <n v="17600000"/>
        <n v="1980000"/>
        <n v="13750000"/>
        <n v="5940000"/>
        <n v="3850000"/>
        <n v="14850000"/>
        <n v="3080000"/>
        <n v="4950000"/>
        <n v="77000000"/>
        <n v="3300000"/>
        <n v="8800000"/>
        <n v="9900000"/>
        <n v="3437500"/>
        <n v="6600000"/>
        <n v="3960000"/>
        <n v="2310000"/>
        <n v="4400000"/>
        <n v="1760000"/>
        <n v="2640000"/>
        <n v="16500000"/>
        <n v="9240000"/>
        <n v="19800000"/>
        <n v="1485000"/>
        <n v="1155000"/>
        <n v="1925000"/>
        <n v="55000000"/>
        <n v="792000"/>
        <n v="2475000"/>
        <n v="22000000"/>
        <n v="594000"/>
        <n v="4125000"/>
        <n v="231000"/>
        <n v="99000"/>
        <n v="88000"/>
        <n v="66000"/>
        <n v="123750"/>
        <n v="55000"/>
        <n v="57750"/>
        <n v="148500"/>
        <n v="77000"/>
        <n v="33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0"/>
    <x v="0"/>
    <x v="0"/>
    <x v="0"/>
    <x v="1"/>
  </r>
  <r>
    <x v="2"/>
    <x v="1"/>
    <x v="2"/>
    <x v="2"/>
    <x v="2"/>
    <x v="2"/>
    <x v="2"/>
    <x v="2"/>
    <x v="2"/>
    <x v="2"/>
    <x v="1"/>
    <x v="2"/>
    <x v="2"/>
    <x v="0"/>
    <x v="0"/>
    <x v="0"/>
    <x v="0"/>
    <x v="2"/>
  </r>
  <r>
    <x v="3"/>
    <x v="2"/>
    <x v="3"/>
    <x v="3"/>
    <x v="3"/>
    <x v="3"/>
    <x v="3"/>
    <x v="3"/>
    <x v="3"/>
    <x v="3"/>
    <x v="2"/>
    <x v="3"/>
    <x v="0"/>
    <x v="0"/>
    <x v="0"/>
    <x v="0"/>
    <x v="0"/>
    <x v="3"/>
  </r>
  <r>
    <x v="4"/>
    <x v="2"/>
    <x v="1"/>
    <x v="4"/>
    <x v="4"/>
    <x v="0"/>
    <x v="4"/>
    <x v="4"/>
    <x v="4"/>
    <x v="4"/>
    <x v="3"/>
    <x v="4"/>
    <x v="0"/>
    <x v="0"/>
    <x v="0"/>
    <x v="0"/>
    <x v="1"/>
    <x v="4"/>
  </r>
  <r>
    <x v="5"/>
    <x v="3"/>
    <x v="0"/>
    <x v="5"/>
    <x v="5"/>
    <x v="1"/>
    <x v="5"/>
    <x v="5"/>
    <x v="5"/>
    <x v="5"/>
    <x v="1"/>
    <x v="5"/>
    <x v="1"/>
    <x v="0"/>
    <x v="0"/>
    <x v="0"/>
    <x v="0"/>
    <x v="5"/>
  </r>
  <r>
    <x v="6"/>
    <x v="4"/>
    <x v="2"/>
    <x v="6"/>
    <x v="6"/>
    <x v="2"/>
    <x v="6"/>
    <x v="6"/>
    <x v="6"/>
    <x v="4"/>
    <x v="1"/>
    <x v="6"/>
    <x v="2"/>
    <x v="0"/>
    <x v="0"/>
    <x v="0"/>
    <x v="0"/>
    <x v="6"/>
  </r>
  <r>
    <x v="7"/>
    <x v="4"/>
    <x v="1"/>
    <x v="1"/>
    <x v="7"/>
    <x v="0"/>
    <x v="7"/>
    <x v="7"/>
    <x v="7"/>
    <x v="6"/>
    <x v="0"/>
    <x v="7"/>
    <x v="0"/>
    <x v="0"/>
    <x v="0"/>
    <x v="0"/>
    <x v="0"/>
    <x v="7"/>
  </r>
  <r>
    <x v="8"/>
    <x v="5"/>
    <x v="3"/>
    <x v="7"/>
    <x v="8"/>
    <x v="3"/>
    <x v="8"/>
    <x v="8"/>
    <x v="8"/>
    <x v="7"/>
    <x v="4"/>
    <x v="8"/>
    <x v="1"/>
    <x v="0"/>
    <x v="0"/>
    <x v="0"/>
    <x v="1"/>
    <x v="8"/>
  </r>
  <r>
    <x v="9"/>
    <x v="5"/>
    <x v="0"/>
    <x v="0"/>
    <x v="9"/>
    <x v="1"/>
    <x v="9"/>
    <x v="9"/>
    <x v="9"/>
    <x v="8"/>
    <x v="1"/>
    <x v="9"/>
    <x v="0"/>
    <x v="0"/>
    <x v="0"/>
    <x v="0"/>
    <x v="0"/>
    <x v="9"/>
  </r>
  <r>
    <x v="10"/>
    <x v="6"/>
    <x v="2"/>
    <x v="2"/>
    <x v="10"/>
    <x v="2"/>
    <x v="10"/>
    <x v="10"/>
    <x v="7"/>
    <x v="6"/>
    <x v="1"/>
    <x v="4"/>
    <x v="2"/>
    <x v="0"/>
    <x v="0"/>
    <x v="0"/>
    <x v="0"/>
    <x v="7"/>
  </r>
  <r>
    <x v="11"/>
    <x v="7"/>
    <x v="1"/>
    <x v="8"/>
    <x v="11"/>
    <x v="0"/>
    <x v="11"/>
    <x v="11"/>
    <x v="10"/>
    <x v="9"/>
    <x v="1"/>
    <x v="10"/>
    <x v="1"/>
    <x v="0"/>
    <x v="0"/>
    <x v="0"/>
    <x v="0"/>
    <x v="10"/>
  </r>
  <r>
    <x v="12"/>
    <x v="7"/>
    <x v="0"/>
    <x v="5"/>
    <x v="12"/>
    <x v="1"/>
    <x v="12"/>
    <x v="12"/>
    <x v="8"/>
    <x v="10"/>
    <x v="0"/>
    <x v="11"/>
    <x v="0"/>
    <x v="0"/>
    <x v="0"/>
    <x v="0"/>
    <x v="0"/>
    <x v="8"/>
  </r>
  <r>
    <x v="13"/>
    <x v="8"/>
    <x v="3"/>
    <x v="3"/>
    <x v="13"/>
    <x v="3"/>
    <x v="13"/>
    <x v="13"/>
    <x v="11"/>
    <x v="11"/>
    <x v="2"/>
    <x v="0"/>
    <x v="0"/>
    <x v="0"/>
    <x v="0"/>
    <x v="0"/>
    <x v="1"/>
    <x v="11"/>
  </r>
  <r>
    <x v="14"/>
    <x v="8"/>
    <x v="2"/>
    <x v="6"/>
    <x v="14"/>
    <x v="2"/>
    <x v="14"/>
    <x v="14"/>
    <x v="12"/>
    <x v="12"/>
    <x v="1"/>
    <x v="12"/>
    <x v="2"/>
    <x v="0"/>
    <x v="0"/>
    <x v="0"/>
    <x v="0"/>
    <x v="12"/>
  </r>
  <r>
    <x v="15"/>
    <x v="9"/>
    <x v="1"/>
    <x v="1"/>
    <x v="15"/>
    <x v="0"/>
    <x v="15"/>
    <x v="15"/>
    <x v="13"/>
    <x v="6"/>
    <x v="2"/>
    <x v="5"/>
    <x v="0"/>
    <x v="0"/>
    <x v="0"/>
    <x v="0"/>
    <x v="1"/>
    <x v="13"/>
  </r>
  <r>
    <x v="16"/>
    <x v="10"/>
    <x v="0"/>
    <x v="0"/>
    <x v="16"/>
    <x v="1"/>
    <x v="16"/>
    <x v="16"/>
    <x v="14"/>
    <x v="13"/>
    <x v="3"/>
    <x v="13"/>
    <x v="1"/>
    <x v="0"/>
    <x v="0"/>
    <x v="0"/>
    <x v="1"/>
    <x v="14"/>
  </r>
  <r>
    <x v="17"/>
    <x v="10"/>
    <x v="2"/>
    <x v="2"/>
    <x v="17"/>
    <x v="2"/>
    <x v="17"/>
    <x v="17"/>
    <x v="9"/>
    <x v="8"/>
    <x v="1"/>
    <x v="3"/>
    <x v="2"/>
    <x v="0"/>
    <x v="0"/>
    <x v="0"/>
    <x v="0"/>
    <x v="9"/>
  </r>
  <r>
    <x v="18"/>
    <x v="11"/>
    <x v="3"/>
    <x v="9"/>
    <x v="18"/>
    <x v="3"/>
    <x v="18"/>
    <x v="18"/>
    <x v="11"/>
    <x v="7"/>
    <x v="0"/>
    <x v="12"/>
    <x v="0"/>
    <x v="0"/>
    <x v="0"/>
    <x v="0"/>
    <x v="0"/>
    <x v="11"/>
  </r>
  <r>
    <x v="19"/>
    <x v="11"/>
    <x v="1"/>
    <x v="4"/>
    <x v="19"/>
    <x v="0"/>
    <x v="19"/>
    <x v="9"/>
    <x v="9"/>
    <x v="8"/>
    <x v="1"/>
    <x v="1"/>
    <x v="1"/>
    <x v="0"/>
    <x v="0"/>
    <x v="0"/>
    <x v="0"/>
    <x v="9"/>
  </r>
  <r>
    <x v="20"/>
    <x v="12"/>
    <x v="0"/>
    <x v="10"/>
    <x v="20"/>
    <x v="1"/>
    <x v="20"/>
    <x v="19"/>
    <x v="3"/>
    <x v="3"/>
    <x v="1"/>
    <x v="0"/>
    <x v="0"/>
    <x v="0"/>
    <x v="0"/>
    <x v="0"/>
    <x v="0"/>
    <x v="3"/>
  </r>
  <r>
    <x v="21"/>
    <x v="13"/>
    <x v="2"/>
    <x v="6"/>
    <x v="21"/>
    <x v="2"/>
    <x v="21"/>
    <x v="20"/>
    <x v="13"/>
    <x v="14"/>
    <x v="1"/>
    <x v="14"/>
    <x v="2"/>
    <x v="0"/>
    <x v="0"/>
    <x v="0"/>
    <x v="0"/>
    <x v="13"/>
  </r>
  <r>
    <x v="22"/>
    <x v="13"/>
    <x v="1"/>
    <x v="1"/>
    <x v="22"/>
    <x v="3"/>
    <x v="22"/>
    <x v="21"/>
    <x v="14"/>
    <x v="15"/>
    <x v="2"/>
    <x v="5"/>
    <x v="0"/>
    <x v="0"/>
    <x v="0"/>
    <x v="0"/>
    <x v="0"/>
    <x v="14"/>
  </r>
  <r>
    <x v="23"/>
    <x v="14"/>
    <x v="3"/>
    <x v="3"/>
    <x v="23"/>
    <x v="0"/>
    <x v="23"/>
    <x v="22"/>
    <x v="14"/>
    <x v="13"/>
    <x v="3"/>
    <x v="9"/>
    <x v="1"/>
    <x v="0"/>
    <x v="0"/>
    <x v="0"/>
    <x v="1"/>
    <x v="14"/>
  </r>
  <r>
    <x v="24"/>
    <x v="15"/>
    <x v="0"/>
    <x v="11"/>
    <x v="24"/>
    <x v="1"/>
    <x v="24"/>
    <x v="23"/>
    <x v="15"/>
    <x v="16"/>
    <x v="1"/>
    <x v="5"/>
    <x v="0"/>
    <x v="0"/>
    <x v="0"/>
    <x v="0"/>
    <x v="0"/>
    <x v="15"/>
  </r>
  <r>
    <x v="25"/>
    <x v="16"/>
    <x v="2"/>
    <x v="2"/>
    <x v="25"/>
    <x v="2"/>
    <x v="25"/>
    <x v="24"/>
    <x v="16"/>
    <x v="17"/>
    <x v="0"/>
    <x v="15"/>
    <x v="2"/>
    <x v="1"/>
    <x v="0"/>
    <x v="0"/>
    <x v="0"/>
    <x v="16"/>
  </r>
  <r>
    <x v="26"/>
    <x v="17"/>
    <x v="1"/>
    <x v="1"/>
    <x v="26"/>
    <x v="0"/>
    <x v="26"/>
    <x v="8"/>
    <x v="10"/>
    <x v="18"/>
    <x v="2"/>
    <x v="11"/>
    <x v="0"/>
    <x v="1"/>
    <x v="0"/>
    <x v="0"/>
    <x v="1"/>
    <x v="10"/>
  </r>
  <r>
    <x v="27"/>
    <x v="17"/>
    <x v="0"/>
    <x v="0"/>
    <x v="27"/>
    <x v="1"/>
    <x v="27"/>
    <x v="25"/>
    <x v="17"/>
    <x v="19"/>
    <x v="1"/>
    <x v="16"/>
    <x v="1"/>
    <x v="1"/>
    <x v="0"/>
    <x v="0"/>
    <x v="0"/>
    <x v="17"/>
  </r>
  <r>
    <x v="28"/>
    <x v="18"/>
    <x v="3"/>
    <x v="12"/>
    <x v="28"/>
    <x v="3"/>
    <x v="28"/>
    <x v="26"/>
    <x v="3"/>
    <x v="10"/>
    <x v="2"/>
    <x v="2"/>
    <x v="0"/>
    <x v="1"/>
    <x v="0"/>
    <x v="0"/>
    <x v="1"/>
    <x v="3"/>
  </r>
  <r>
    <x v="29"/>
    <x v="19"/>
    <x v="2"/>
    <x v="6"/>
    <x v="29"/>
    <x v="2"/>
    <x v="29"/>
    <x v="10"/>
    <x v="5"/>
    <x v="5"/>
    <x v="1"/>
    <x v="8"/>
    <x v="2"/>
    <x v="1"/>
    <x v="0"/>
    <x v="0"/>
    <x v="0"/>
    <x v="5"/>
  </r>
  <r>
    <x v="30"/>
    <x v="19"/>
    <x v="1"/>
    <x v="4"/>
    <x v="30"/>
    <x v="0"/>
    <x v="30"/>
    <x v="27"/>
    <x v="10"/>
    <x v="9"/>
    <x v="1"/>
    <x v="7"/>
    <x v="1"/>
    <x v="1"/>
    <x v="0"/>
    <x v="0"/>
    <x v="0"/>
    <x v="10"/>
  </r>
  <r>
    <x v="31"/>
    <x v="20"/>
    <x v="0"/>
    <x v="5"/>
    <x v="31"/>
    <x v="1"/>
    <x v="31"/>
    <x v="28"/>
    <x v="18"/>
    <x v="20"/>
    <x v="1"/>
    <x v="10"/>
    <x v="0"/>
    <x v="1"/>
    <x v="0"/>
    <x v="0"/>
    <x v="0"/>
    <x v="18"/>
  </r>
  <r>
    <x v="32"/>
    <x v="21"/>
    <x v="2"/>
    <x v="2"/>
    <x v="32"/>
    <x v="2"/>
    <x v="32"/>
    <x v="6"/>
    <x v="19"/>
    <x v="21"/>
    <x v="1"/>
    <x v="4"/>
    <x v="2"/>
    <x v="1"/>
    <x v="0"/>
    <x v="0"/>
    <x v="0"/>
    <x v="19"/>
  </r>
  <r>
    <x v="33"/>
    <x v="21"/>
    <x v="1"/>
    <x v="1"/>
    <x v="33"/>
    <x v="3"/>
    <x v="33"/>
    <x v="18"/>
    <x v="7"/>
    <x v="22"/>
    <x v="3"/>
    <x v="12"/>
    <x v="0"/>
    <x v="1"/>
    <x v="0"/>
    <x v="0"/>
    <x v="1"/>
    <x v="7"/>
  </r>
  <r>
    <x v="34"/>
    <x v="22"/>
    <x v="3"/>
    <x v="3"/>
    <x v="34"/>
    <x v="0"/>
    <x v="34"/>
    <x v="13"/>
    <x v="8"/>
    <x v="7"/>
    <x v="2"/>
    <x v="13"/>
    <x v="1"/>
    <x v="1"/>
    <x v="0"/>
    <x v="0"/>
    <x v="1"/>
    <x v="8"/>
  </r>
  <r>
    <x v="35"/>
    <x v="23"/>
    <x v="0"/>
    <x v="0"/>
    <x v="35"/>
    <x v="1"/>
    <x v="35"/>
    <x v="29"/>
    <x v="20"/>
    <x v="23"/>
    <x v="1"/>
    <x v="17"/>
    <x v="0"/>
    <x v="1"/>
    <x v="0"/>
    <x v="0"/>
    <x v="0"/>
    <x v="20"/>
  </r>
  <r>
    <x v="36"/>
    <x v="23"/>
    <x v="2"/>
    <x v="6"/>
    <x v="36"/>
    <x v="2"/>
    <x v="36"/>
    <x v="30"/>
    <x v="12"/>
    <x v="12"/>
    <x v="1"/>
    <x v="18"/>
    <x v="2"/>
    <x v="1"/>
    <x v="0"/>
    <x v="0"/>
    <x v="0"/>
    <x v="12"/>
  </r>
  <r>
    <x v="37"/>
    <x v="24"/>
    <x v="1"/>
    <x v="8"/>
    <x v="37"/>
    <x v="0"/>
    <x v="37"/>
    <x v="24"/>
    <x v="21"/>
    <x v="24"/>
    <x v="1"/>
    <x v="10"/>
    <x v="0"/>
    <x v="1"/>
    <x v="0"/>
    <x v="0"/>
    <x v="0"/>
    <x v="21"/>
  </r>
  <r>
    <x v="38"/>
    <x v="25"/>
    <x v="3"/>
    <x v="9"/>
    <x v="38"/>
    <x v="3"/>
    <x v="38"/>
    <x v="4"/>
    <x v="22"/>
    <x v="25"/>
    <x v="2"/>
    <x v="1"/>
    <x v="1"/>
    <x v="1"/>
    <x v="0"/>
    <x v="0"/>
    <x v="1"/>
    <x v="22"/>
  </r>
  <r>
    <x v="39"/>
    <x v="25"/>
    <x v="2"/>
    <x v="2"/>
    <x v="39"/>
    <x v="2"/>
    <x v="39"/>
    <x v="20"/>
    <x v="13"/>
    <x v="14"/>
    <x v="1"/>
    <x v="2"/>
    <x v="2"/>
    <x v="1"/>
    <x v="0"/>
    <x v="0"/>
    <x v="0"/>
    <x v="13"/>
  </r>
  <r>
    <x v="40"/>
    <x v="26"/>
    <x v="1"/>
    <x v="1"/>
    <x v="40"/>
    <x v="1"/>
    <x v="40"/>
    <x v="11"/>
    <x v="8"/>
    <x v="10"/>
    <x v="1"/>
    <x v="11"/>
    <x v="0"/>
    <x v="1"/>
    <x v="0"/>
    <x v="0"/>
    <x v="0"/>
    <x v="8"/>
  </r>
  <r>
    <x v="41"/>
    <x v="27"/>
    <x v="0"/>
    <x v="0"/>
    <x v="41"/>
    <x v="0"/>
    <x v="41"/>
    <x v="16"/>
    <x v="11"/>
    <x v="7"/>
    <x v="0"/>
    <x v="9"/>
    <x v="1"/>
    <x v="1"/>
    <x v="0"/>
    <x v="0"/>
    <x v="0"/>
    <x v="11"/>
  </r>
  <r>
    <x v="42"/>
    <x v="27"/>
    <x v="2"/>
    <x v="6"/>
    <x v="42"/>
    <x v="2"/>
    <x v="42"/>
    <x v="31"/>
    <x v="17"/>
    <x v="19"/>
    <x v="1"/>
    <x v="6"/>
    <x v="2"/>
    <x v="1"/>
    <x v="0"/>
    <x v="0"/>
    <x v="0"/>
    <x v="17"/>
  </r>
  <r>
    <x v="43"/>
    <x v="28"/>
    <x v="3"/>
    <x v="7"/>
    <x v="43"/>
    <x v="3"/>
    <x v="43"/>
    <x v="3"/>
    <x v="23"/>
    <x v="26"/>
    <x v="3"/>
    <x v="5"/>
    <x v="0"/>
    <x v="1"/>
    <x v="0"/>
    <x v="0"/>
    <x v="1"/>
    <x v="23"/>
  </r>
  <r>
    <x v="44"/>
    <x v="29"/>
    <x v="1"/>
    <x v="4"/>
    <x v="44"/>
    <x v="0"/>
    <x v="44"/>
    <x v="2"/>
    <x v="17"/>
    <x v="19"/>
    <x v="1"/>
    <x v="1"/>
    <x v="0"/>
    <x v="1"/>
    <x v="0"/>
    <x v="0"/>
    <x v="0"/>
    <x v="17"/>
  </r>
  <r>
    <x v="45"/>
    <x v="29"/>
    <x v="0"/>
    <x v="10"/>
    <x v="45"/>
    <x v="1"/>
    <x v="45"/>
    <x v="13"/>
    <x v="11"/>
    <x v="7"/>
    <x v="1"/>
    <x v="7"/>
    <x v="1"/>
    <x v="1"/>
    <x v="0"/>
    <x v="0"/>
    <x v="0"/>
    <x v="11"/>
  </r>
  <r>
    <x v="46"/>
    <x v="30"/>
    <x v="2"/>
    <x v="2"/>
    <x v="46"/>
    <x v="2"/>
    <x v="46"/>
    <x v="32"/>
    <x v="24"/>
    <x v="27"/>
    <x v="1"/>
    <x v="13"/>
    <x v="2"/>
    <x v="1"/>
    <x v="0"/>
    <x v="0"/>
    <x v="0"/>
    <x v="24"/>
  </r>
  <r>
    <x v="47"/>
    <x v="31"/>
    <x v="1"/>
    <x v="1"/>
    <x v="47"/>
    <x v="0"/>
    <x v="47"/>
    <x v="18"/>
    <x v="25"/>
    <x v="5"/>
    <x v="2"/>
    <x v="3"/>
    <x v="0"/>
    <x v="1"/>
    <x v="0"/>
    <x v="0"/>
    <x v="1"/>
    <x v="25"/>
  </r>
  <r>
    <x v="48"/>
    <x v="31"/>
    <x v="3"/>
    <x v="3"/>
    <x v="48"/>
    <x v="3"/>
    <x v="48"/>
    <x v="8"/>
    <x v="10"/>
    <x v="18"/>
    <x v="0"/>
    <x v="0"/>
    <x v="1"/>
    <x v="1"/>
    <x v="0"/>
    <x v="0"/>
    <x v="1"/>
    <x v="10"/>
  </r>
  <r>
    <x v="49"/>
    <x v="32"/>
    <x v="0"/>
    <x v="5"/>
    <x v="49"/>
    <x v="1"/>
    <x v="49"/>
    <x v="30"/>
    <x v="26"/>
    <x v="28"/>
    <x v="1"/>
    <x v="7"/>
    <x v="0"/>
    <x v="1"/>
    <x v="0"/>
    <x v="0"/>
    <x v="0"/>
    <x v="26"/>
  </r>
  <r>
    <x v="50"/>
    <x v="33"/>
    <x v="2"/>
    <x v="6"/>
    <x v="50"/>
    <x v="2"/>
    <x v="50"/>
    <x v="17"/>
    <x v="9"/>
    <x v="8"/>
    <x v="1"/>
    <x v="12"/>
    <x v="2"/>
    <x v="1"/>
    <x v="0"/>
    <x v="0"/>
    <x v="0"/>
    <x v="9"/>
  </r>
  <r>
    <x v="51"/>
    <x v="33"/>
    <x v="1"/>
    <x v="8"/>
    <x v="51"/>
    <x v="0"/>
    <x v="51"/>
    <x v="25"/>
    <x v="10"/>
    <x v="9"/>
    <x v="1"/>
    <x v="9"/>
    <x v="0"/>
    <x v="1"/>
    <x v="0"/>
    <x v="0"/>
    <x v="0"/>
    <x v="10"/>
  </r>
  <r>
    <x v="52"/>
    <x v="34"/>
    <x v="3"/>
    <x v="12"/>
    <x v="52"/>
    <x v="1"/>
    <x v="52"/>
    <x v="22"/>
    <x v="27"/>
    <x v="29"/>
    <x v="1"/>
    <x v="16"/>
    <x v="1"/>
    <x v="1"/>
    <x v="0"/>
    <x v="0"/>
    <x v="0"/>
    <x v="27"/>
  </r>
  <r>
    <x v="53"/>
    <x v="35"/>
    <x v="0"/>
    <x v="0"/>
    <x v="53"/>
    <x v="3"/>
    <x v="13"/>
    <x v="4"/>
    <x v="28"/>
    <x v="30"/>
    <x v="2"/>
    <x v="11"/>
    <x v="0"/>
    <x v="1"/>
    <x v="0"/>
    <x v="0"/>
    <x v="1"/>
    <x v="28"/>
  </r>
  <r>
    <x v="54"/>
    <x v="35"/>
    <x v="2"/>
    <x v="2"/>
    <x v="54"/>
    <x v="2"/>
    <x v="53"/>
    <x v="14"/>
    <x v="11"/>
    <x v="7"/>
    <x v="1"/>
    <x v="0"/>
    <x v="2"/>
    <x v="1"/>
    <x v="0"/>
    <x v="0"/>
    <x v="0"/>
    <x v="11"/>
  </r>
  <r>
    <x v="55"/>
    <x v="36"/>
    <x v="1"/>
    <x v="1"/>
    <x v="55"/>
    <x v="0"/>
    <x v="54"/>
    <x v="9"/>
    <x v="22"/>
    <x v="31"/>
    <x v="1"/>
    <x v="10"/>
    <x v="0"/>
    <x v="1"/>
    <x v="0"/>
    <x v="0"/>
    <x v="0"/>
    <x v="22"/>
  </r>
  <r>
    <x v="56"/>
    <x v="37"/>
    <x v="3"/>
    <x v="3"/>
    <x v="56"/>
    <x v="1"/>
    <x v="55"/>
    <x v="11"/>
    <x v="10"/>
    <x v="9"/>
    <x v="1"/>
    <x v="1"/>
    <x v="1"/>
    <x v="1"/>
    <x v="0"/>
    <x v="0"/>
    <x v="0"/>
    <x v="10"/>
  </r>
  <r>
    <x v="57"/>
    <x v="37"/>
    <x v="0"/>
    <x v="11"/>
    <x v="57"/>
    <x v="3"/>
    <x v="56"/>
    <x v="13"/>
    <x v="11"/>
    <x v="11"/>
    <x v="2"/>
    <x v="5"/>
    <x v="0"/>
    <x v="1"/>
    <x v="0"/>
    <x v="0"/>
    <x v="1"/>
    <x v="11"/>
  </r>
  <r>
    <x v="58"/>
    <x v="38"/>
    <x v="2"/>
    <x v="6"/>
    <x v="58"/>
    <x v="2"/>
    <x v="57"/>
    <x v="10"/>
    <x v="11"/>
    <x v="7"/>
    <x v="1"/>
    <x v="4"/>
    <x v="2"/>
    <x v="1"/>
    <x v="0"/>
    <x v="0"/>
    <x v="0"/>
    <x v="11"/>
  </r>
  <r>
    <x v="59"/>
    <x v="39"/>
    <x v="1"/>
    <x v="4"/>
    <x v="59"/>
    <x v="0"/>
    <x v="58"/>
    <x v="33"/>
    <x v="28"/>
    <x v="32"/>
    <x v="1"/>
    <x v="19"/>
    <x v="0"/>
    <x v="1"/>
    <x v="0"/>
    <x v="0"/>
    <x v="0"/>
    <x v="28"/>
  </r>
  <r>
    <x v="60"/>
    <x v="39"/>
    <x v="0"/>
    <x v="0"/>
    <x v="60"/>
    <x v="1"/>
    <x v="59"/>
    <x v="7"/>
    <x v="29"/>
    <x v="33"/>
    <x v="1"/>
    <x v="20"/>
    <x v="1"/>
    <x v="1"/>
    <x v="0"/>
    <x v="0"/>
    <x v="0"/>
    <x v="29"/>
  </r>
  <r>
    <x v="61"/>
    <x v="40"/>
    <x v="3"/>
    <x v="9"/>
    <x v="61"/>
    <x v="3"/>
    <x v="60"/>
    <x v="26"/>
    <x v="30"/>
    <x v="34"/>
    <x v="0"/>
    <x v="13"/>
    <x v="0"/>
    <x v="1"/>
    <x v="0"/>
    <x v="0"/>
    <x v="1"/>
    <x v="30"/>
  </r>
  <r>
    <x v="62"/>
    <x v="41"/>
    <x v="2"/>
    <x v="2"/>
    <x v="62"/>
    <x v="2"/>
    <x v="61"/>
    <x v="2"/>
    <x v="31"/>
    <x v="35"/>
    <x v="1"/>
    <x v="3"/>
    <x v="2"/>
    <x v="1"/>
    <x v="0"/>
    <x v="0"/>
    <x v="0"/>
    <x v="31"/>
  </r>
  <r>
    <x v="63"/>
    <x v="41"/>
    <x v="1"/>
    <x v="1"/>
    <x v="63"/>
    <x v="0"/>
    <x v="62"/>
    <x v="8"/>
    <x v="3"/>
    <x v="10"/>
    <x v="2"/>
    <x v="0"/>
    <x v="0"/>
    <x v="1"/>
    <x v="0"/>
    <x v="0"/>
    <x v="1"/>
    <x v="3"/>
  </r>
  <r>
    <x v="64"/>
    <x v="42"/>
    <x v="0"/>
    <x v="5"/>
    <x v="64"/>
    <x v="1"/>
    <x v="63"/>
    <x v="34"/>
    <x v="32"/>
    <x v="36"/>
    <x v="1"/>
    <x v="11"/>
    <x v="1"/>
    <x v="1"/>
    <x v="0"/>
    <x v="0"/>
    <x v="0"/>
    <x v="32"/>
  </r>
  <r>
    <x v="65"/>
    <x v="43"/>
    <x v="2"/>
    <x v="6"/>
    <x v="65"/>
    <x v="2"/>
    <x v="64"/>
    <x v="35"/>
    <x v="33"/>
    <x v="37"/>
    <x v="1"/>
    <x v="8"/>
    <x v="2"/>
    <x v="1"/>
    <x v="0"/>
    <x v="0"/>
    <x v="0"/>
    <x v="33"/>
  </r>
  <r>
    <x v="66"/>
    <x v="44"/>
    <x v="1"/>
    <x v="8"/>
    <x v="66"/>
    <x v="0"/>
    <x v="65"/>
    <x v="3"/>
    <x v="23"/>
    <x v="26"/>
    <x v="2"/>
    <x v="7"/>
    <x v="0"/>
    <x v="2"/>
    <x v="0"/>
    <x v="0"/>
    <x v="1"/>
    <x v="23"/>
  </r>
  <r>
    <x v="67"/>
    <x v="45"/>
    <x v="3"/>
    <x v="3"/>
    <x v="67"/>
    <x v="3"/>
    <x v="66"/>
    <x v="18"/>
    <x v="34"/>
    <x v="32"/>
    <x v="0"/>
    <x v="1"/>
    <x v="1"/>
    <x v="2"/>
    <x v="0"/>
    <x v="0"/>
    <x v="1"/>
    <x v="34"/>
  </r>
  <r>
    <x v="68"/>
    <x v="45"/>
    <x v="0"/>
    <x v="0"/>
    <x v="68"/>
    <x v="1"/>
    <x v="67"/>
    <x v="8"/>
    <x v="8"/>
    <x v="7"/>
    <x v="1"/>
    <x v="5"/>
    <x v="0"/>
    <x v="2"/>
    <x v="0"/>
    <x v="0"/>
    <x v="1"/>
    <x v="8"/>
  </r>
  <r>
    <x v="69"/>
    <x v="46"/>
    <x v="2"/>
    <x v="2"/>
    <x v="69"/>
    <x v="2"/>
    <x v="68"/>
    <x v="20"/>
    <x v="13"/>
    <x v="14"/>
    <x v="1"/>
    <x v="14"/>
    <x v="2"/>
    <x v="2"/>
    <x v="0"/>
    <x v="0"/>
    <x v="0"/>
    <x v="13"/>
  </r>
  <r>
    <x v="70"/>
    <x v="47"/>
    <x v="1"/>
    <x v="1"/>
    <x v="70"/>
    <x v="0"/>
    <x v="69"/>
    <x v="26"/>
    <x v="17"/>
    <x v="38"/>
    <x v="2"/>
    <x v="11"/>
    <x v="0"/>
    <x v="2"/>
    <x v="0"/>
    <x v="0"/>
    <x v="1"/>
    <x v="17"/>
  </r>
  <r>
    <x v="71"/>
    <x v="47"/>
    <x v="3"/>
    <x v="7"/>
    <x v="71"/>
    <x v="1"/>
    <x v="70"/>
    <x v="6"/>
    <x v="28"/>
    <x v="32"/>
    <x v="1"/>
    <x v="9"/>
    <x v="1"/>
    <x v="2"/>
    <x v="0"/>
    <x v="0"/>
    <x v="0"/>
    <x v="28"/>
  </r>
  <r>
    <x v="72"/>
    <x v="48"/>
    <x v="0"/>
    <x v="10"/>
    <x v="72"/>
    <x v="3"/>
    <x v="71"/>
    <x v="4"/>
    <x v="35"/>
    <x v="39"/>
    <x v="0"/>
    <x v="5"/>
    <x v="0"/>
    <x v="2"/>
    <x v="0"/>
    <x v="0"/>
    <x v="1"/>
    <x v="35"/>
  </r>
  <r>
    <x v="73"/>
    <x v="49"/>
    <x v="2"/>
    <x v="6"/>
    <x v="73"/>
    <x v="2"/>
    <x v="72"/>
    <x v="36"/>
    <x v="36"/>
    <x v="40"/>
    <x v="1"/>
    <x v="12"/>
    <x v="2"/>
    <x v="2"/>
    <x v="0"/>
    <x v="0"/>
    <x v="0"/>
    <x v="36"/>
  </r>
  <r>
    <x v="74"/>
    <x v="49"/>
    <x v="1"/>
    <x v="4"/>
    <x v="74"/>
    <x v="0"/>
    <x v="73"/>
    <x v="16"/>
    <x v="35"/>
    <x v="38"/>
    <x v="1"/>
    <x v="7"/>
    <x v="0"/>
    <x v="2"/>
    <x v="0"/>
    <x v="0"/>
    <x v="0"/>
    <x v="35"/>
  </r>
  <r>
    <x v="75"/>
    <x v="50"/>
    <x v="0"/>
    <x v="5"/>
    <x v="75"/>
    <x v="1"/>
    <x v="74"/>
    <x v="37"/>
    <x v="37"/>
    <x v="41"/>
    <x v="1"/>
    <x v="10"/>
    <x v="1"/>
    <x v="2"/>
    <x v="0"/>
    <x v="0"/>
    <x v="0"/>
    <x v="37"/>
  </r>
  <r>
    <x v="76"/>
    <x v="51"/>
    <x v="2"/>
    <x v="2"/>
    <x v="76"/>
    <x v="2"/>
    <x v="75"/>
    <x v="19"/>
    <x v="8"/>
    <x v="10"/>
    <x v="1"/>
    <x v="1"/>
    <x v="2"/>
    <x v="2"/>
    <x v="0"/>
    <x v="0"/>
    <x v="0"/>
    <x v="8"/>
  </r>
  <r>
    <x v="77"/>
    <x v="51"/>
    <x v="1"/>
    <x v="1"/>
    <x v="77"/>
    <x v="3"/>
    <x v="76"/>
    <x v="15"/>
    <x v="22"/>
    <x v="25"/>
    <x v="2"/>
    <x v="9"/>
    <x v="0"/>
    <x v="2"/>
    <x v="0"/>
    <x v="0"/>
    <x v="1"/>
    <x v="22"/>
  </r>
  <r>
    <x v="78"/>
    <x v="52"/>
    <x v="3"/>
    <x v="3"/>
    <x v="78"/>
    <x v="0"/>
    <x v="77"/>
    <x v="30"/>
    <x v="34"/>
    <x v="18"/>
    <x v="1"/>
    <x v="1"/>
    <x v="1"/>
    <x v="2"/>
    <x v="0"/>
    <x v="0"/>
    <x v="0"/>
    <x v="34"/>
  </r>
  <r>
    <x v="79"/>
    <x v="53"/>
    <x v="0"/>
    <x v="0"/>
    <x v="79"/>
    <x v="1"/>
    <x v="78"/>
    <x v="0"/>
    <x v="21"/>
    <x v="24"/>
    <x v="1"/>
    <x v="7"/>
    <x v="0"/>
    <x v="2"/>
    <x v="0"/>
    <x v="0"/>
    <x v="0"/>
    <x v="21"/>
  </r>
  <r>
    <x v="80"/>
    <x v="53"/>
    <x v="2"/>
    <x v="6"/>
    <x v="80"/>
    <x v="2"/>
    <x v="79"/>
    <x v="27"/>
    <x v="10"/>
    <x v="9"/>
    <x v="1"/>
    <x v="5"/>
    <x v="2"/>
    <x v="2"/>
    <x v="0"/>
    <x v="0"/>
    <x v="0"/>
    <x v="10"/>
  </r>
  <r>
    <x v="81"/>
    <x v="54"/>
    <x v="1"/>
    <x v="8"/>
    <x v="81"/>
    <x v="0"/>
    <x v="80"/>
    <x v="26"/>
    <x v="17"/>
    <x v="38"/>
    <x v="0"/>
    <x v="1"/>
    <x v="0"/>
    <x v="2"/>
    <x v="0"/>
    <x v="0"/>
    <x v="1"/>
    <x v="17"/>
  </r>
  <r>
    <x v="82"/>
    <x v="55"/>
    <x v="3"/>
    <x v="12"/>
    <x v="82"/>
    <x v="3"/>
    <x v="81"/>
    <x v="16"/>
    <x v="28"/>
    <x v="30"/>
    <x v="0"/>
    <x v="7"/>
    <x v="1"/>
    <x v="2"/>
    <x v="0"/>
    <x v="0"/>
    <x v="1"/>
    <x v="28"/>
  </r>
  <r>
    <x v="83"/>
    <x v="55"/>
    <x v="0"/>
    <x v="11"/>
    <x v="83"/>
    <x v="1"/>
    <x v="82"/>
    <x v="19"/>
    <x v="38"/>
    <x v="42"/>
    <x v="1"/>
    <x v="19"/>
    <x v="0"/>
    <x v="2"/>
    <x v="0"/>
    <x v="0"/>
    <x v="0"/>
    <x v="38"/>
  </r>
  <r>
    <x v="84"/>
    <x v="56"/>
    <x v="2"/>
    <x v="2"/>
    <x v="84"/>
    <x v="2"/>
    <x v="83"/>
    <x v="10"/>
    <x v="8"/>
    <x v="10"/>
    <x v="1"/>
    <x v="3"/>
    <x v="2"/>
    <x v="2"/>
    <x v="0"/>
    <x v="0"/>
    <x v="0"/>
    <x v="8"/>
  </r>
  <r>
    <x v="85"/>
    <x v="57"/>
    <x v="1"/>
    <x v="1"/>
    <x v="85"/>
    <x v="0"/>
    <x v="84"/>
    <x v="12"/>
    <x v="34"/>
    <x v="18"/>
    <x v="1"/>
    <x v="10"/>
    <x v="0"/>
    <x v="2"/>
    <x v="0"/>
    <x v="0"/>
    <x v="0"/>
    <x v="34"/>
  </r>
  <r>
    <x v="86"/>
    <x v="57"/>
    <x v="3"/>
    <x v="3"/>
    <x v="86"/>
    <x v="3"/>
    <x v="85"/>
    <x v="25"/>
    <x v="34"/>
    <x v="32"/>
    <x v="2"/>
    <x v="9"/>
    <x v="1"/>
    <x v="2"/>
    <x v="0"/>
    <x v="0"/>
    <x v="1"/>
    <x v="34"/>
  </r>
  <r>
    <x v="87"/>
    <x v="58"/>
    <x v="0"/>
    <x v="0"/>
    <x v="87"/>
    <x v="1"/>
    <x v="86"/>
    <x v="1"/>
    <x v="26"/>
    <x v="28"/>
    <x v="1"/>
    <x v="10"/>
    <x v="0"/>
    <x v="2"/>
    <x v="0"/>
    <x v="0"/>
    <x v="0"/>
    <x v="26"/>
  </r>
  <r>
    <x v="88"/>
    <x v="59"/>
    <x v="2"/>
    <x v="6"/>
    <x v="88"/>
    <x v="2"/>
    <x v="87"/>
    <x v="31"/>
    <x v="7"/>
    <x v="6"/>
    <x v="1"/>
    <x v="6"/>
    <x v="2"/>
    <x v="2"/>
    <x v="0"/>
    <x v="0"/>
    <x v="0"/>
    <x v="7"/>
  </r>
  <r>
    <x v="89"/>
    <x v="59"/>
    <x v="1"/>
    <x v="4"/>
    <x v="89"/>
    <x v="0"/>
    <x v="88"/>
    <x v="18"/>
    <x v="34"/>
    <x v="32"/>
    <x v="0"/>
    <x v="9"/>
    <x v="0"/>
    <x v="2"/>
    <x v="0"/>
    <x v="0"/>
    <x v="1"/>
    <x v="34"/>
  </r>
  <r>
    <x v="90"/>
    <x v="60"/>
    <x v="3"/>
    <x v="9"/>
    <x v="90"/>
    <x v="3"/>
    <x v="89"/>
    <x v="0"/>
    <x v="26"/>
    <x v="43"/>
    <x v="1"/>
    <x v="10"/>
    <x v="1"/>
    <x v="2"/>
    <x v="0"/>
    <x v="0"/>
    <x v="1"/>
    <x v="26"/>
  </r>
  <r>
    <x v="91"/>
    <x v="61"/>
    <x v="0"/>
    <x v="5"/>
    <x v="91"/>
    <x v="1"/>
    <x v="90"/>
    <x v="12"/>
    <x v="21"/>
    <x v="24"/>
    <x v="1"/>
    <x v="7"/>
    <x v="0"/>
    <x v="2"/>
    <x v="0"/>
    <x v="0"/>
    <x v="0"/>
    <x v="21"/>
  </r>
  <r>
    <x v="92"/>
    <x v="61"/>
    <x v="2"/>
    <x v="2"/>
    <x v="92"/>
    <x v="2"/>
    <x v="91"/>
    <x v="14"/>
    <x v="20"/>
    <x v="23"/>
    <x v="1"/>
    <x v="0"/>
    <x v="2"/>
    <x v="2"/>
    <x v="0"/>
    <x v="0"/>
    <x v="0"/>
    <x v="20"/>
  </r>
  <r>
    <x v="93"/>
    <x v="62"/>
    <x v="1"/>
    <x v="1"/>
    <x v="93"/>
    <x v="0"/>
    <x v="92"/>
    <x v="15"/>
    <x v="10"/>
    <x v="18"/>
    <x v="2"/>
    <x v="9"/>
    <x v="0"/>
    <x v="2"/>
    <x v="0"/>
    <x v="0"/>
    <x v="1"/>
    <x v="10"/>
  </r>
  <r>
    <x v="94"/>
    <x v="63"/>
    <x v="3"/>
    <x v="7"/>
    <x v="94"/>
    <x v="3"/>
    <x v="93"/>
    <x v="3"/>
    <x v="39"/>
    <x v="44"/>
    <x v="1"/>
    <x v="19"/>
    <x v="1"/>
    <x v="2"/>
    <x v="0"/>
    <x v="0"/>
    <x v="1"/>
    <x v="39"/>
  </r>
  <r>
    <x v="95"/>
    <x v="63"/>
    <x v="0"/>
    <x v="0"/>
    <x v="95"/>
    <x v="1"/>
    <x v="94"/>
    <x v="38"/>
    <x v="40"/>
    <x v="45"/>
    <x v="1"/>
    <x v="10"/>
    <x v="0"/>
    <x v="2"/>
    <x v="0"/>
    <x v="0"/>
    <x v="0"/>
    <x v="40"/>
  </r>
  <r>
    <x v="96"/>
    <x v="64"/>
    <x v="2"/>
    <x v="6"/>
    <x v="96"/>
    <x v="2"/>
    <x v="95"/>
    <x v="17"/>
    <x v="9"/>
    <x v="8"/>
    <x v="1"/>
    <x v="12"/>
    <x v="2"/>
    <x v="2"/>
    <x v="0"/>
    <x v="0"/>
    <x v="0"/>
    <x v="9"/>
  </r>
  <r>
    <x v="97"/>
    <x v="65"/>
    <x v="1"/>
    <x v="8"/>
    <x v="97"/>
    <x v="0"/>
    <x v="96"/>
    <x v="7"/>
    <x v="41"/>
    <x v="46"/>
    <x v="1"/>
    <x v="20"/>
    <x v="0"/>
    <x v="2"/>
    <x v="0"/>
    <x v="0"/>
    <x v="0"/>
    <x v="41"/>
  </r>
  <r>
    <x v="98"/>
    <x v="65"/>
    <x v="3"/>
    <x v="3"/>
    <x v="98"/>
    <x v="1"/>
    <x v="97"/>
    <x v="39"/>
    <x v="42"/>
    <x v="47"/>
    <x v="1"/>
    <x v="7"/>
    <x v="1"/>
    <x v="2"/>
    <x v="0"/>
    <x v="0"/>
    <x v="0"/>
    <x v="42"/>
  </r>
  <r>
    <x v="99"/>
    <x v="66"/>
    <x v="0"/>
    <x v="10"/>
    <x v="99"/>
    <x v="3"/>
    <x v="98"/>
    <x v="40"/>
    <x v="43"/>
    <x v="48"/>
    <x v="0"/>
    <x v="9"/>
    <x v="0"/>
    <x v="2"/>
    <x v="0"/>
    <x v="0"/>
    <x v="1"/>
    <x v="43"/>
  </r>
  <r>
    <x v="100"/>
    <x v="67"/>
    <x v="2"/>
    <x v="2"/>
    <x v="100"/>
    <x v="2"/>
    <x v="99"/>
    <x v="37"/>
    <x v="44"/>
    <x v="49"/>
    <x v="1"/>
    <x v="1"/>
    <x v="2"/>
    <x v="2"/>
    <x v="0"/>
    <x v="0"/>
    <x v="0"/>
    <x v="44"/>
  </r>
  <r>
    <x v="101"/>
    <x v="67"/>
    <x v="1"/>
    <x v="1"/>
    <x v="101"/>
    <x v="0"/>
    <x v="100"/>
    <x v="6"/>
    <x v="28"/>
    <x v="32"/>
    <x v="1"/>
    <x v="7"/>
    <x v="0"/>
    <x v="2"/>
    <x v="0"/>
    <x v="0"/>
    <x v="0"/>
    <x v="28"/>
  </r>
  <r>
    <x v="102"/>
    <x v="68"/>
    <x v="3"/>
    <x v="12"/>
    <x v="102"/>
    <x v="1"/>
    <x v="101"/>
    <x v="25"/>
    <x v="30"/>
    <x v="50"/>
    <x v="1"/>
    <x v="9"/>
    <x v="1"/>
    <x v="2"/>
    <x v="0"/>
    <x v="0"/>
    <x v="0"/>
    <x v="30"/>
  </r>
  <r>
    <x v="103"/>
    <x v="69"/>
    <x v="0"/>
    <x v="0"/>
    <x v="103"/>
    <x v="3"/>
    <x v="102"/>
    <x v="29"/>
    <x v="11"/>
    <x v="11"/>
    <x v="2"/>
    <x v="1"/>
    <x v="0"/>
    <x v="2"/>
    <x v="0"/>
    <x v="0"/>
    <x v="1"/>
    <x v="11"/>
  </r>
  <r>
    <x v="104"/>
    <x v="69"/>
    <x v="2"/>
    <x v="6"/>
    <x v="104"/>
    <x v="2"/>
    <x v="103"/>
    <x v="30"/>
    <x v="45"/>
    <x v="51"/>
    <x v="1"/>
    <x v="11"/>
    <x v="2"/>
    <x v="2"/>
    <x v="0"/>
    <x v="0"/>
    <x v="0"/>
    <x v="45"/>
  </r>
  <r>
    <x v="105"/>
    <x v="70"/>
    <x v="1"/>
    <x v="4"/>
    <x v="105"/>
    <x v="0"/>
    <x v="104"/>
    <x v="2"/>
    <x v="29"/>
    <x v="33"/>
    <x v="1"/>
    <x v="10"/>
    <x v="0"/>
    <x v="2"/>
    <x v="0"/>
    <x v="0"/>
    <x v="0"/>
    <x v="29"/>
  </r>
  <r>
    <x v="106"/>
    <x v="71"/>
    <x v="3"/>
    <x v="3"/>
    <x v="106"/>
    <x v="1"/>
    <x v="105"/>
    <x v="18"/>
    <x v="11"/>
    <x v="11"/>
    <x v="1"/>
    <x v="1"/>
    <x v="1"/>
    <x v="2"/>
    <x v="0"/>
    <x v="0"/>
    <x v="1"/>
    <x v="11"/>
  </r>
  <r>
    <x v="107"/>
    <x v="71"/>
    <x v="0"/>
    <x v="5"/>
    <x v="107"/>
    <x v="3"/>
    <x v="106"/>
    <x v="16"/>
    <x v="34"/>
    <x v="32"/>
    <x v="0"/>
    <x v="9"/>
    <x v="0"/>
    <x v="2"/>
    <x v="0"/>
    <x v="0"/>
    <x v="1"/>
    <x v="34"/>
  </r>
  <r>
    <x v="108"/>
    <x v="72"/>
    <x v="2"/>
    <x v="2"/>
    <x v="108"/>
    <x v="2"/>
    <x v="107"/>
    <x v="33"/>
    <x v="34"/>
    <x v="18"/>
    <x v="1"/>
    <x v="7"/>
    <x v="2"/>
    <x v="2"/>
    <x v="0"/>
    <x v="0"/>
    <x v="0"/>
    <x v="34"/>
  </r>
  <r>
    <x v="109"/>
    <x v="73"/>
    <x v="1"/>
    <x v="1"/>
    <x v="109"/>
    <x v="0"/>
    <x v="108"/>
    <x v="24"/>
    <x v="28"/>
    <x v="32"/>
    <x v="1"/>
    <x v="10"/>
    <x v="0"/>
    <x v="2"/>
    <x v="0"/>
    <x v="0"/>
    <x v="0"/>
    <x v="28"/>
  </r>
  <r>
    <x v="110"/>
    <x v="73"/>
    <x v="3"/>
    <x v="9"/>
    <x v="110"/>
    <x v="1"/>
    <x v="109"/>
    <x v="7"/>
    <x v="41"/>
    <x v="46"/>
    <x v="1"/>
    <x v="20"/>
    <x v="1"/>
    <x v="2"/>
    <x v="0"/>
    <x v="0"/>
    <x v="0"/>
    <x v="41"/>
  </r>
  <r>
    <x v="111"/>
    <x v="74"/>
    <x v="0"/>
    <x v="0"/>
    <x v="111"/>
    <x v="3"/>
    <x v="110"/>
    <x v="21"/>
    <x v="46"/>
    <x v="52"/>
    <x v="0"/>
    <x v="7"/>
    <x v="0"/>
    <x v="3"/>
    <x v="1"/>
    <x v="0"/>
    <x v="1"/>
    <x v="46"/>
  </r>
  <r>
    <x v="112"/>
    <x v="75"/>
    <x v="2"/>
    <x v="6"/>
    <x v="112"/>
    <x v="2"/>
    <x v="111"/>
    <x v="10"/>
    <x v="11"/>
    <x v="7"/>
    <x v="1"/>
    <x v="3"/>
    <x v="2"/>
    <x v="3"/>
    <x v="1"/>
    <x v="0"/>
    <x v="0"/>
    <x v="11"/>
  </r>
  <r>
    <x v="113"/>
    <x v="75"/>
    <x v="1"/>
    <x v="8"/>
    <x v="113"/>
    <x v="0"/>
    <x v="112"/>
    <x v="30"/>
    <x v="47"/>
    <x v="26"/>
    <x v="1"/>
    <x v="10"/>
    <x v="0"/>
    <x v="3"/>
    <x v="1"/>
    <x v="0"/>
    <x v="0"/>
    <x v="47"/>
  </r>
  <r>
    <x v="114"/>
    <x v="76"/>
    <x v="3"/>
    <x v="7"/>
    <x v="114"/>
    <x v="1"/>
    <x v="113"/>
    <x v="32"/>
    <x v="48"/>
    <x v="53"/>
    <x v="1"/>
    <x v="9"/>
    <x v="1"/>
    <x v="3"/>
    <x v="1"/>
    <x v="0"/>
    <x v="0"/>
    <x v="48"/>
  </r>
  <r>
    <x v="115"/>
    <x v="77"/>
    <x v="0"/>
    <x v="10"/>
    <x v="115"/>
    <x v="3"/>
    <x v="114"/>
    <x v="11"/>
    <x v="39"/>
    <x v="44"/>
    <x v="1"/>
    <x v="19"/>
    <x v="0"/>
    <x v="3"/>
    <x v="1"/>
    <x v="0"/>
    <x v="1"/>
    <x v="39"/>
  </r>
  <r>
    <x v="116"/>
    <x v="77"/>
    <x v="2"/>
    <x v="2"/>
    <x v="116"/>
    <x v="2"/>
    <x v="115"/>
    <x v="24"/>
    <x v="21"/>
    <x v="24"/>
    <x v="1"/>
    <x v="1"/>
    <x v="2"/>
    <x v="3"/>
    <x v="1"/>
    <x v="0"/>
    <x v="0"/>
    <x v="21"/>
  </r>
  <r>
    <x v="117"/>
    <x v="78"/>
    <x v="1"/>
    <x v="1"/>
    <x v="117"/>
    <x v="0"/>
    <x v="116"/>
    <x v="28"/>
    <x v="49"/>
    <x v="54"/>
    <x v="1"/>
    <x v="20"/>
    <x v="0"/>
    <x v="3"/>
    <x v="1"/>
    <x v="0"/>
    <x v="0"/>
    <x v="49"/>
  </r>
  <r>
    <x v="118"/>
    <x v="79"/>
    <x v="3"/>
    <x v="3"/>
    <x v="118"/>
    <x v="1"/>
    <x v="117"/>
    <x v="22"/>
    <x v="50"/>
    <x v="55"/>
    <x v="1"/>
    <x v="21"/>
    <x v="1"/>
    <x v="3"/>
    <x v="1"/>
    <x v="0"/>
    <x v="0"/>
    <x v="50"/>
  </r>
  <r>
    <x v="119"/>
    <x v="79"/>
    <x v="0"/>
    <x v="5"/>
    <x v="119"/>
    <x v="3"/>
    <x v="118"/>
    <x v="9"/>
    <x v="51"/>
    <x v="56"/>
    <x v="0"/>
    <x v="7"/>
    <x v="0"/>
    <x v="3"/>
    <x v="1"/>
    <x v="0"/>
    <x v="1"/>
    <x v="51"/>
  </r>
  <r>
    <x v="120"/>
    <x v="80"/>
    <x v="2"/>
    <x v="6"/>
    <x v="120"/>
    <x v="2"/>
    <x v="119"/>
    <x v="27"/>
    <x v="30"/>
    <x v="50"/>
    <x v="1"/>
    <x v="9"/>
    <x v="2"/>
    <x v="3"/>
    <x v="1"/>
    <x v="0"/>
    <x v="0"/>
    <x v="30"/>
  </r>
  <r>
    <x v="121"/>
    <x v="81"/>
    <x v="1"/>
    <x v="4"/>
    <x v="121"/>
    <x v="0"/>
    <x v="120"/>
    <x v="5"/>
    <x v="28"/>
    <x v="32"/>
    <x v="1"/>
    <x v="10"/>
    <x v="0"/>
    <x v="3"/>
    <x v="1"/>
    <x v="0"/>
    <x v="0"/>
    <x v="28"/>
  </r>
  <r>
    <x v="122"/>
    <x v="81"/>
    <x v="0"/>
    <x v="0"/>
    <x v="122"/>
    <x v="1"/>
    <x v="121"/>
    <x v="34"/>
    <x v="52"/>
    <x v="57"/>
    <x v="1"/>
    <x v="7"/>
    <x v="1"/>
    <x v="3"/>
    <x v="1"/>
    <x v="0"/>
    <x v="0"/>
    <x v="52"/>
  </r>
  <r>
    <x v="123"/>
    <x v="82"/>
    <x v="2"/>
    <x v="2"/>
    <x v="123"/>
    <x v="2"/>
    <x v="122"/>
    <x v="6"/>
    <x v="34"/>
    <x v="18"/>
    <x v="1"/>
    <x v="11"/>
    <x v="2"/>
    <x v="3"/>
    <x v="1"/>
    <x v="0"/>
    <x v="0"/>
    <x v="34"/>
  </r>
  <r>
    <x v="124"/>
    <x v="83"/>
    <x v="1"/>
    <x v="1"/>
    <x v="124"/>
    <x v="0"/>
    <x v="123"/>
    <x v="17"/>
    <x v="41"/>
    <x v="46"/>
    <x v="1"/>
    <x v="20"/>
    <x v="0"/>
    <x v="3"/>
    <x v="1"/>
    <x v="0"/>
    <x v="0"/>
    <x v="41"/>
  </r>
  <r>
    <x v="125"/>
    <x v="83"/>
    <x v="3"/>
    <x v="12"/>
    <x v="125"/>
    <x v="3"/>
    <x v="124"/>
    <x v="26"/>
    <x v="53"/>
    <x v="58"/>
    <x v="1"/>
    <x v="10"/>
    <x v="1"/>
    <x v="3"/>
    <x v="1"/>
    <x v="0"/>
    <x v="1"/>
    <x v="53"/>
  </r>
  <r>
    <x v="126"/>
    <x v="84"/>
    <x v="0"/>
    <x v="11"/>
    <x v="126"/>
    <x v="1"/>
    <x v="125"/>
    <x v="11"/>
    <x v="38"/>
    <x v="42"/>
    <x v="1"/>
    <x v="19"/>
    <x v="0"/>
    <x v="3"/>
    <x v="1"/>
    <x v="0"/>
    <x v="0"/>
    <x v="38"/>
  </r>
  <r>
    <x v="127"/>
    <x v="85"/>
    <x v="2"/>
    <x v="6"/>
    <x v="127"/>
    <x v="2"/>
    <x v="126"/>
    <x v="2"/>
    <x v="31"/>
    <x v="35"/>
    <x v="1"/>
    <x v="0"/>
    <x v="2"/>
    <x v="3"/>
    <x v="1"/>
    <x v="0"/>
    <x v="0"/>
    <x v="31"/>
  </r>
  <r>
    <x v="128"/>
    <x v="85"/>
    <x v="1"/>
    <x v="8"/>
    <x v="128"/>
    <x v="0"/>
    <x v="127"/>
    <x v="41"/>
    <x v="10"/>
    <x v="18"/>
    <x v="1"/>
    <x v="7"/>
    <x v="0"/>
    <x v="3"/>
    <x v="1"/>
    <x v="0"/>
    <x v="1"/>
    <x v="10"/>
  </r>
  <r>
    <x v="129"/>
    <x v="86"/>
    <x v="3"/>
    <x v="3"/>
    <x v="129"/>
    <x v="1"/>
    <x v="128"/>
    <x v="16"/>
    <x v="7"/>
    <x v="6"/>
    <x v="1"/>
    <x v="5"/>
    <x v="1"/>
    <x v="3"/>
    <x v="1"/>
    <x v="0"/>
    <x v="0"/>
    <x v="7"/>
  </r>
  <r>
    <x v="130"/>
    <x v="87"/>
    <x v="0"/>
    <x v="0"/>
    <x v="130"/>
    <x v="3"/>
    <x v="129"/>
    <x v="5"/>
    <x v="28"/>
    <x v="32"/>
    <x v="0"/>
    <x v="10"/>
    <x v="0"/>
    <x v="3"/>
    <x v="1"/>
    <x v="0"/>
    <x v="0"/>
    <x v="28"/>
  </r>
  <r>
    <x v="131"/>
    <x v="87"/>
    <x v="2"/>
    <x v="2"/>
    <x v="131"/>
    <x v="2"/>
    <x v="130"/>
    <x v="19"/>
    <x v="29"/>
    <x v="33"/>
    <x v="1"/>
    <x v="7"/>
    <x v="2"/>
    <x v="3"/>
    <x v="1"/>
    <x v="0"/>
    <x v="0"/>
    <x v="29"/>
  </r>
  <r>
    <x v="132"/>
    <x v="88"/>
    <x v="1"/>
    <x v="1"/>
    <x v="132"/>
    <x v="0"/>
    <x v="131"/>
    <x v="4"/>
    <x v="22"/>
    <x v="25"/>
    <x v="1"/>
    <x v="9"/>
    <x v="0"/>
    <x v="3"/>
    <x v="1"/>
    <x v="0"/>
    <x v="1"/>
    <x v="22"/>
  </r>
  <r>
    <x v="133"/>
    <x v="89"/>
    <x v="3"/>
    <x v="9"/>
    <x v="133"/>
    <x v="1"/>
    <x v="132"/>
    <x v="0"/>
    <x v="39"/>
    <x v="59"/>
    <x v="1"/>
    <x v="20"/>
    <x v="1"/>
    <x v="3"/>
    <x v="1"/>
    <x v="0"/>
    <x v="0"/>
    <x v="39"/>
  </r>
  <r>
    <x v="134"/>
    <x v="89"/>
    <x v="0"/>
    <x v="5"/>
    <x v="134"/>
    <x v="3"/>
    <x v="133"/>
    <x v="22"/>
    <x v="54"/>
    <x v="60"/>
    <x v="1"/>
    <x v="21"/>
    <x v="0"/>
    <x v="3"/>
    <x v="1"/>
    <x v="0"/>
    <x v="1"/>
    <x v="54"/>
  </r>
  <r>
    <x v="135"/>
    <x v="90"/>
    <x v="2"/>
    <x v="6"/>
    <x v="135"/>
    <x v="2"/>
    <x v="134"/>
    <x v="6"/>
    <x v="34"/>
    <x v="18"/>
    <x v="1"/>
    <x v="1"/>
    <x v="2"/>
    <x v="3"/>
    <x v="1"/>
    <x v="0"/>
    <x v="0"/>
    <x v="34"/>
  </r>
  <r>
    <x v="136"/>
    <x v="91"/>
    <x v="1"/>
    <x v="4"/>
    <x v="136"/>
    <x v="0"/>
    <x v="135"/>
    <x v="23"/>
    <x v="55"/>
    <x v="61"/>
    <x v="1"/>
    <x v="20"/>
    <x v="0"/>
    <x v="3"/>
    <x v="1"/>
    <x v="0"/>
    <x v="0"/>
    <x v="55"/>
  </r>
  <r>
    <x v="137"/>
    <x v="91"/>
    <x v="0"/>
    <x v="0"/>
    <x v="137"/>
    <x v="1"/>
    <x v="136"/>
    <x v="19"/>
    <x v="29"/>
    <x v="33"/>
    <x v="1"/>
    <x v="10"/>
    <x v="1"/>
    <x v="3"/>
    <x v="1"/>
    <x v="0"/>
    <x v="0"/>
    <x v="29"/>
  </r>
  <r>
    <x v="138"/>
    <x v="92"/>
    <x v="2"/>
    <x v="2"/>
    <x v="138"/>
    <x v="2"/>
    <x v="137"/>
    <x v="1"/>
    <x v="26"/>
    <x v="28"/>
    <x v="1"/>
    <x v="10"/>
    <x v="2"/>
    <x v="3"/>
    <x v="1"/>
    <x v="0"/>
    <x v="0"/>
    <x v="26"/>
  </r>
  <r>
    <x v="139"/>
    <x v="93"/>
    <x v="1"/>
    <x v="1"/>
    <x v="139"/>
    <x v="0"/>
    <x v="138"/>
    <x v="11"/>
    <x v="56"/>
    <x v="62"/>
    <x v="1"/>
    <x v="21"/>
    <x v="0"/>
    <x v="3"/>
    <x v="1"/>
    <x v="0"/>
    <x v="0"/>
    <x v="56"/>
  </r>
  <r>
    <x v="140"/>
    <x v="93"/>
    <x v="3"/>
    <x v="7"/>
    <x v="140"/>
    <x v="3"/>
    <x v="139"/>
    <x v="0"/>
    <x v="26"/>
    <x v="43"/>
    <x v="1"/>
    <x v="19"/>
    <x v="1"/>
    <x v="3"/>
    <x v="1"/>
    <x v="0"/>
    <x v="1"/>
    <x v="26"/>
  </r>
  <r>
    <x v="141"/>
    <x v="94"/>
    <x v="0"/>
    <x v="10"/>
    <x v="141"/>
    <x v="1"/>
    <x v="140"/>
    <x v="37"/>
    <x v="57"/>
    <x v="63"/>
    <x v="1"/>
    <x v="20"/>
    <x v="0"/>
    <x v="3"/>
    <x v="1"/>
    <x v="0"/>
    <x v="0"/>
    <x v="57"/>
  </r>
  <r>
    <x v="142"/>
    <x v="95"/>
    <x v="2"/>
    <x v="6"/>
    <x v="142"/>
    <x v="2"/>
    <x v="141"/>
    <x v="24"/>
    <x v="26"/>
    <x v="28"/>
    <x v="1"/>
    <x v="7"/>
    <x v="2"/>
    <x v="3"/>
    <x v="1"/>
    <x v="0"/>
    <x v="0"/>
    <x v="26"/>
  </r>
  <r>
    <x v="143"/>
    <x v="95"/>
    <x v="1"/>
    <x v="8"/>
    <x v="143"/>
    <x v="0"/>
    <x v="142"/>
    <x v="8"/>
    <x v="10"/>
    <x v="18"/>
    <x v="1"/>
    <x v="1"/>
    <x v="0"/>
    <x v="3"/>
    <x v="1"/>
    <x v="0"/>
    <x v="1"/>
    <x v="10"/>
  </r>
  <r>
    <x v="144"/>
    <x v="96"/>
    <x v="3"/>
    <x v="3"/>
    <x v="144"/>
    <x v="1"/>
    <x v="143"/>
    <x v="29"/>
    <x v="43"/>
    <x v="64"/>
    <x v="1"/>
    <x v="10"/>
    <x v="1"/>
    <x v="3"/>
    <x v="1"/>
    <x v="0"/>
    <x v="0"/>
    <x v="43"/>
  </r>
  <r>
    <x v="145"/>
    <x v="97"/>
    <x v="0"/>
    <x v="0"/>
    <x v="145"/>
    <x v="3"/>
    <x v="144"/>
    <x v="40"/>
    <x v="28"/>
    <x v="30"/>
    <x v="0"/>
    <x v="7"/>
    <x v="0"/>
    <x v="3"/>
    <x v="1"/>
    <x v="0"/>
    <x v="1"/>
    <x v="28"/>
  </r>
  <r>
    <x v="146"/>
    <x v="97"/>
    <x v="2"/>
    <x v="2"/>
    <x v="146"/>
    <x v="2"/>
    <x v="145"/>
    <x v="30"/>
    <x v="21"/>
    <x v="24"/>
    <x v="1"/>
    <x v="9"/>
    <x v="2"/>
    <x v="3"/>
    <x v="1"/>
    <x v="0"/>
    <x v="0"/>
    <x v="21"/>
  </r>
  <r>
    <x v="147"/>
    <x v="98"/>
    <x v="1"/>
    <x v="1"/>
    <x v="147"/>
    <x v="0"/>
    <x v="146"/>
    <x v="5"/>
    <x v="53"/>
    <x v="65"/>
    <x v="1"/>
    <x v="19"/>
    <x v="0"/>
    <x v="3"/>
    <x v="1"/>
    <x v="0"/>
    <x v="0"/>
    <x v="53"/>
  </r>
  <r>
    <x v="148"/>
    <x v="99"/>
    <x v="3"/>
    <x v="12"/>
    <x v="148"/>
    <x v="1"/>
    <x v="147"/>
    <x v="2"/>
    <x v="29"/>
    <x v="33"/>
    <x v="1"/>
    <x v="10"/>
    <x v="1"/>
    <x v="3"/>
    <x v="1"/>
    <x v="0"/>
    <x v="0"/>
    <x v="29"/>
  </r>
  <r>
    <x v="149"/>
    <x v="99"/>
    <x v="0"/>
    <x v="5"/>
    <x v="149"/>
    <x v="3"/>
    <x v="148"/>
    <x v="41"/>
    <x v="22"/>
    <x v="25"/>
    <x v="1"/>
    <x v="9"/>
    <x v="0"/>
    <x v="3"/>
    <x v="1"/>
    <x v="0"/>
    <x v="1"/>
    <x v="22"/>
  </r>
  <r>
    <x v="150"/>
    <x v="100"/>
    <x v="2"/>
    <x v="6"/>
    <x v="150"/>
    <x v="2"/>
    <x v="149"/>
    <x v="32"/>
    <x v="48"/>
    <x v="53"/>
    <x v="1"/>
    <x v="7"/>
    <x v="2"/>
    <x v="3"/>
    <x v="1"/>
    <x v="0"/>
    <x v="0"/>
    <x v="48"/>
  </r>
  <r>
    <x v="151"/>
    <x v="101"/>
    <x v="1"/>
    <x v="4"/>
    <x v="151"/>
    <x v="0"/>
    <x v="150"/>
    <x v="39"/>
    <x v="58"/>
    <x v="66"/>
    <x v="1"/>
    <x v="21"/>
    <x v="0"/>
    <x v="3"/>
    <x v="1"/>
    <x v="0"/>
    <x v="0"/>
    <x v="58"/>
  </r>
  <r>
    <x v="152"/>
    <x v="101"/>
    <x v="0"/>
    <x v="0"/>
    <x v="152"/>
    <x v="1"/>
    <x v="151"/>
    <x v="9"/>
    <x v="27"/>
    <x v="29"/>
    <x v="1"/>
    <x v="9"/>
    <x v="1"/>
    <x v="3"/>
    <x v="1"/>
    <x v="0"/>
    <x v="0"/>
    <x v="27"/>
  </r>
  <r>
    <x v="153"/>
    <x v="102"/>
    <x v="2"/>
    <x v="2"/>
    <x v="153"/>
    <x v="2"/>
    <x v="152"/>
    <x v="28"/>
    <x v="49"/>
    <x v="54"/>
    <x v="1"/>
    <x v="10"/>
    <x v="2"/>
    <x v="3"/>
    <x v="1"/>
    <x v="0"/>
    <x v="0"/>
    <x v="49"/>
  </r>
  <r>
    <x v="154"/>
    <x v="103"/>
    <x v="1"/>
    <x v="1"/>
    <x v="154"/>
    <x v="0"/>
    <x v="153"/>
    <x v="37"/>
    <x v="37"/>
    <x v="41"/>
    <x v="1"/>
    <x v="7"/>
    <x v="0"/>
    <x v="3"/>
    <x v="1"/>
    <x v="0"/>
    <x v="0"/>
    <x v="37"/>
  </r>
  <r>
    <x v="155"/>
    <x v="104"/>
    <x v="3"/>
    <x v="3"/>
    <x v="155"/>
    <x v="3"/>
    <x v="154"/>
    <x v="18"/>
    <x v="28"/>
    <x v="30"/>
    <x v="0"/>
    <x v="10"/>
    <x v="1"/>
    <x v="4"/>
    <x v="1"/>
    <x v="0"/>
    <x v="1"/>
    <x v="28"/>
  </r>
  <r>
    <x v="156"/>
    <x v="105"/>
    <x v="0"/>
    <x v="0"/>
    <x v="156"/>
    <x v="1"/>
    <x v="155"/>
    <x v="0"/>
    <x v="47"/>
    <x v="26"/>
    <x v="1"/>
    <x v="7"/>
    <x v="0"/>
    <x v="4"/>
    <x v="1"/>
    <x v="0"/>
    <x v="0"/>
    <x v="47"/>
  </r>
  <r>
    <x v="157"/>
    <x v="105"/>
    <x v="2"/>
    <x v="6"/>
    <x v="157"/>
    <x v="2"/>
    <x v="156"/>
    <x v="11"/>
    <x v="10"/>
    <x v="9"/>
    <x v="1"/>
    <x v="1"/>
    <x v="2"/>
    <x v="4"/>
    <x v="1"/>
    <x v="0"/>
    <x v="0"/>
    <x v="10"/>
  </r>
  <r>
    <x v="158"/>
    <x v="106"/>
    <x v="1"/>
    <x v="8"/>
    <x v="158"/>
    <x v="0"/>
    <x v="157"/>
    <x v="16"/>
    <x v="53"/>
    <x v="65"/>
    <x v="1"/>
    <x v="20"/>
    <x v="0"/>
    <x v="4"/>
    <x v="1"/>
    <x v="0"/>
    <x v="0"/>
    <x v="53"/>
  </r>
  <r>
    <x v="159"/>
    <x v="107"/>
    <x v="3"/>
    <x v="9"/>
    <x v="159"/>
    <x v="1"/>
    <x v="158"/>
    <x v="3"/>
    <x v="23"/>
    <x v="67"/>
    <x v="1"/>
    <x v="7"/>
    <x v="1"/>
    <x v="4"/>
    <x v="1"/>
    <x v="0"/>
    <x v="0"/>
    <x v="23"/>
  </r>
  <r>
    <x v="160"/>
    <x v="107"/>
    <x v="0"/>
    <x v="11"/>
    <x v="160"/>
    <x v="3"/>
    <x v="159"/>
    <x v="13"/>
    <x v="53"/>
    <x v="58"/>
    <x v="1"/>
    <x v="10"/>
    <x v="0"/>
    <x v="4"/>
    <x v="1"/>
    <x v="0"/>
    <x v="1"/>
    <x v="53"/>
  </r>
  <r>
    <x v="161"/>
    <x v="108"/>
    <x v="2"/>
    <x v="2"/>
    <x v="161"/>
    <x v="2"/>
    <x v="160"/>
    <x v="9"/>
    <x v="59"/>
    <x v="68"/>
    <x v="1"/>
    <x v="10"/>
    <x v="2"/>
    <x v="4"/>
    <x v="1"/>
    <x v="0"/>
    <x v="0"/>
    <x v="59"/>
  </r>
  <r>
    <x v="162"/>
    <x v="109"/>
    <x v="1"/>
    <x v="1"/>
    <x v="162"/>
    <x v="0"/>
    <x v="161"/>
    <x v="15"/>
    <x v="41"/>
    <x v="46"/>
    <x v="1"/>
    <x v="20"/>
    <x v="0"/>
    <x v="4"/>
    <x v="1"/>
    <x v="0"/>
    <x v="0"/>
    <x v="41"/>
  </r>
  <r>
    <x v="163"/>
    <x v="109"/>
    <x v="3"/>
    <x v="7"/>
    <x v="163"/>
    <x v="1"/>
    <x v="162"/>
    <x v="21"/>
    <x v="18"/>
    <x v="20"/>
    <x v="1"/>
    <x v="10"/>
    <x v="1"/>
    <x v="4"/>
    <x v="1"/>
    <x v="0"/>
    <x v="0"/>
    <x v="18"/>
  </r>
  <r>
    <x v="164"/>
    <x v="110"/>
    <x v="0"/>
    <x v="0"/>
    <x v="164"/>
    <x v="3"/>
    <x v="163"/>
    <x v="11"/>
    <x v="56"/>
    <x v="69"/>
    <x v="1"/>
    <x v="21"/>
    <x v="0"/>
    <x v="4"/>
    <x v="1"/>
    <x v="0"/>
    <x v="1"/>
    <x v="56"/>
  </r>
  <r>
    <x v="165"/>
    <x v="111"/>
    <x v="2"/>
    <x v="6"/>
    <x v="165"/>
    <x v="2"/>
    <x v="164"/>
    <x v="19"/>
    <x v="29"/>
    <x v="33"/>
    <x v="1"/>
    <x v="7"/>
    <x v="2"/>
    <x v="4"/>
    <x v="1"/>
    <x v="0"/>
    <x v="0"/>
    <x v="29"/>
  </r>
  <r>
    <x v="166"/>
    <x v="111"/>
    <x v="1"/>
    <x v="4"/>
    <x v="166"/>
    <x v="0"/>
    <x v="165"/>
    <x v="29"/>
    <x v="26"/>
    <x v="28"/>
    <x v="1"/>
    <x v="19"/>
    <x v="0"/>
    <x v="4"/>
    <x v="1"/>
    <x v="0"/>
    <x v="0"/>
    <x v="26"/>
  </r>
  <r>
    <x v="167"/>
    <x v="112"/>
    <x v="3"/>
    <x v="3"/>
    <x v="167"/>
    <x v="1"/>
    <x v="166"/>
    <x v="15"/>
    <x v="22"/>
    <x v="31"/>
    <x v="1"/>
    <x v="10"/>
    <x v="1"/>
    <x v="4"/>
    <x v="1"/>
    <x v="0"/>
    <x v="0"/>
    <x v="22"/>
  </r>
  <r>
    <x v="168"/>
    <x v="113"/>
    <x v="0"/>
    <x v="5"/>
    <x v="168"/>
    <x v="3"/>
    <x v="167"/>
    <x v="25"/>
    <x v="53"/>
    <x v="58"/>
    <x v="1"/>
    <x v="20"/>
    <x v="0"/>
    <x v="4"/>
    <x v="1"/>
    <x v="0"/>
    <x v="1"/>
    <x v="53"/>
  </r>
  <r>
    <x v="169"/>
    <x v="113"/>
    <x v="2"/>
    <x v="2"/>
    <x v="169"/>
    <x v="2"/>
    <x v="168"/>
    <x v="37"/>
    <x v="57"/>
    <x v="63"/>
    <x v="1"/>
    <x v="19"/>
    <x v="2"/>
    <x v="4"/>
    <x v="1"/>
    <x v="0"/>
    <x v="0"/>
    <x v="57"/>
  </r>
  <r>
    <x v="170"/>
    <x v="114"/>
    <x v="1"/>
    <x v="1"/>
    <x v="170"/>
    <x v="0"/>
    <x v="169"/>
    <x v="42"/>
    <x v="60"/>
    <x v="70"/>
    <x v="1"/>
    <x v="19"/>
    <x v="0"/>
    <x v="4"/>
    <x v="1"/>
    <x v="0"/>
    <x v="0"/>
    <x v="60"/>
  </r>
  <r>
    <x v="171"/>
    <x v="115"/>
    <x v="3"/>
    <x v="12"/>
    <x v="171"/>
    <x v="1"/>
    <x v="170"/>
    <x v="22"/>
    <x v="54"/>
    <x v="71"/>
    <x v="1"/>
    <x v="21"/>
    <x v="1"/>
    <x v="4"/>
    <x v="1"/>
    <x v="0"/>
    <x v="0"/>
    <x v="54"/>
  </r>
  <r>
    <x v="172"/>
    <x v="115"/>
    <x v="0"/>
    <x v="0"/>
    <x v="172"/>
    <x v="3"/>
    <x v="171"/>
    <x v="34"/>
    <x v="61"/>
    <x v="72"/>
    <x v="1"/>
    <x v="19"/>
    <x v="0"/>
    <x v="4"/>
    <x v="1"/>
    <x v="0"/>
    <x v="1"/>
    <x v="61"/>
  </r>
  <r>
    <x v="173"/>
    <x v="116"/>
    <x v="2"/>
    <x v="6"/>
    <x v="173"/>
    <x v="2"/>
    <x v="172"/>
    <x v="24"/>
    <x v="26"/>
    <x v="28"/>
    <x v="1"/>
    <x v="7"/>
    <x v="2"/>
    <x v="4"/>
    <x v="1"/>
    <x v="0"/>
    <x v="0"/>
    <x v="26"/>
  </r>
  <r>
    <x v="174"/>
    <x v="117"/>
    <x v="1"/>
    <x v="8"/>
    <x v="174"/>
    <x v="0"/>
    <x v="173"/>
    <x v="9"/>
    <x v="51"/>
    <x v="25"/>
    <x v="1"/>
    <x v="10"/>
    <x v="0"/>
    <x v="4"/>
    <x v="1"/>
    <x v="0"/>
    <x v="0"/>
    <x v="51"/>
  </r>
  <r>
    <x v="175"/>
    <x v="117"/>
    <x v="3"/>
    <x v="3"/>
    <x v="175"/>
    <x v="1"/>
    <x v="174"/>
    <x v="43"/>
    <x v="30"/>
    <x v="50"/>
    <x v="1"/>
    <x v="7"/>
    <x v="1"/>
    <x v="4"/>
    <x v="1"/>
    <x v="0"/>
    <x v="0"/>
    <x v="30"/>
  </r>
  <r>
    <x v="176"/>
    <x v="118"/>
    <x v="0"/>
    <x v="10"/>
    <x v="176"/>
    <x v="3"/>
    <x v="175"/>
    <x v="26"/>
    <x v="29"/>
    <x v="65"/>
    <x v="1"/>
    <x v="10"/>
    <x v="0"/>
    <x v="4"/>
    <x v="1"/>
    <x v="0"/>
    <x v="1"/>
    <x v="29"/>
  </r>
  <r>
    <x v="177"/>
    <x v="119"/>
    <x v="2"/>
    <x v="2"/>
    <x v="177"/>
    <x v="2"/>
    <x v="176"/>
    <x v="11"/>
    <x v="56"/>
    <x v="62"/>
    <x v="1"/>
    <x v="21"/>
    <x v="2"/>
    <x v="4"/>
    <x v="1"/>
    <x v="0"/>
    <x v="0"/>
    <x v="56"/>
  </r>
  <r>
    <x v="178"/>
    <x v="119"/>
    <x v="1"/>
    <x v="1"/>
    <x v="178"/>
    <x v="0"/>
    <x v="177"/>
    <x v="4"/>
    <x v="34"/>
    <x v="32"/>
    <x v="1"/>
    <x v="7"/>
    <x v="0"/>
    <x v="4"/>
    <x v="1"/>
    <x v="0"/>
    <x v="1"/>
    <x v="34"/>
  </r>
  <r>
    <x v="179"/>
    <x v="120"/>
    <x v="3"/>
    <x v="9"/>
    <x v="179"/>
    <x v="1"/>
    <x v="178"/>
    <x v="9"/>
    <x v="22"/>
    <x v="31"/>
    <x v="1"/>
    <x v="10"/>
    <x v="1"/>
    <x v="4"/>
    <x v="1"/>
    <x v="0"/>
    <x v="0"/>
    <x v="22"/>
  </r>
  <r>
    <x v="180"/>
    <x v="121"/>
    <x v="0"/>
    <x v="0"/>
    <x v="180"/>
    <x v="3"/>
    <x v="179"/>
    <x v="22"/>
    <x v="49"/>
    <x v="73"/>
    <x v="1"/>
    <x v="19"/>
    <x v="0"/>
    <x v="4"/>
    <x v="1"/>
    <x v="0"/>
    <x v="1"/>
    <x v="49"/>
  </r>
  <r>
    <x v="181"/>
    <x v="121"/>
    <x v="2"/>
    <x v="6"/>
    <x v="181"/>
    <x v="2"/>
    <x v="180"/>
    <x v="23"/>
    <x v="62"/>
    <x v="74"/>
    <x v="1"/>
    <x v="7"/>
    <x v="2"/>
    <x v="4"/>
    <x v="1"/>
    <x v="0"/>
    <x v="0"/>
    <x v="62"/>
  </r>
  <r>
    <x v="182"/>
    <x v="122"/>
    <x v="1"/>
    <x v="4"/>
    <x v="182"/>
    <x v="0"/>
    <x v="181"/>
    <x v="3"/>
    <x v="38"/>
    <x v="42"/>
    <x v="1"/>
    <x v="20"/>
    <x v="0"/>
    <x v="4"/>
    <x v="1"/>
    <x v="0"/>
    <x v="0"/>
    <x v="38"/>
  </r>
  <r>
    <x v="183"/>
    <x v="123"/>
    <x v="3"/>
    <x v="7"/>
    <x v="183"/>
    <x v="1"/>
    <x v="182"/>
    <x v="0"/>
    <x v="47"/>
    <x v="26"/>
    <x v="1"/>
    <x v="10"/>
    <x v="1"/>
    <x v="4"/>
    <x v="1"/>
    <x v="0"/>
    <x v="0"/>
    <x v="47"/>
  </r>
  <r>
    <x v="184"/>
    <x v="123"/>
    <x v="0"/>
    <x v="5"/>
    <x v="184"/>
    <x v="3"/>
    <x v="183"/>
    <x v="8"/>
    <x v="63"/>
    <x v="55"/>
    <x v="1"/>
    <x v="19"/>
    <x v="0"/>
    <x v="4"/>
    <x v="1"/>
    <x v="0"/>
    <x v="1"/>
    <x v="63"/>
  </r>
  <r>
    <x v="185"/>
    <x v="124"/>
    <x v="2"/>
    <x v="2"/>
    <x v="185"/>
    <x v="2"/>
    <x v="184"/>
    <x v="12"/>
    <x v="53"/>
    <x v="65"/>
    <x v="1"/>
    <x v="20"/>
    <x v="2"/>
    <x v="4"/>
    <x v="1"/>
    <x v="0"/>
    <x v="0"/>
    <x v="53"/>
  </r>
  <r>
    <x v="186"/>
    <x v="125"/>
    <x v="1"/>
    <x v="1"/>
    <x v="186"/>
    <x v="0"/>
    <x v="185"/>
    <x v="1"/>
    <x v="28"/>
    <x v="32"/>
    <x v="1"/>
    <x v="10"/>
    <x v="0"/>
    <x v="4"/>
    <x v="1"/>
    <x v="0"/>
    <x v="0"/>
    <x v="28"/>
  </r>
  <r>
    <x v="187"/>
    <x v="125"/>
    <x v="3"/>
    <x v="3"/>
    <x v="187"/>
    <x v="1"/>
    <x v="186"/>
    <x v="5"/>
    <x v="35"/>
    <x v="38"/>
    <x v="1"/>
    <x v="7"/>
    <x v="1"/>
    <x v="4"/>
    <x v="1"/>
    <x v="0"/>
    <x v="0"/>
    <x v="35"/>
  </r>
  <r>
    <x v="188"/>
    <x v="126"/>
    <x v="0"/>
    <x v="0"/>
    <x v="188"/>
    <x v="3"/>
    <x v="187"/>
    <x v="21"/>
    <x v="46"/>
    <x v="52"/>
    <x v="1"/>
    <x v="7"/>
    <x v="0"/>
    <x v="4"/>
    <x v="1"/>
    <x v="0"/>
    <x v="1"/>
    <x v="46"/>
  </r>
  <r>
    <x v="189"/>
    <x v="127"/>
    <x v="2"/>
    <x v="6"/>
    <x v="189"/>
    <x v="2"/>
    <x v="188"/>
    <x v="39"/>
    <x v="42"/>
    <x v="47"/>
    <x v="1"/>
    <x v="10"/>
    <x v="2"/>
    <x v="4"/>
    <x v="1"/>
    <x v="0"/>
    <x v="0"/>
    <x v="42"/>
  </r>
  <r>
    <x v="190"/>
    <x v="127"/>
    <x v="1"/>
    <x v="8"/>
    <x v="190"/>
    <x v="0"/>
    <x v="189"/>
    <x v="25"/>
    <x v="29"/>
    <x v="33"/>
    <x v="1"/>
    <x v="19"/>
    <x v="0"/>
    <x v="4"/>
    <x v="1"/>
    <x v="0"/>
    <x v="0"/>
    <x v="29"/>
  </r>
  <r>
    <x v="191"/>
    <x v="128"/>
    <x v="3"/>
    <x v="12"/>
    <x v="191"/>
    <x v="1"/>
    <x v="190"/>
    <x v="29"/>
    <x v="21"/>
    <x v="24"/>
    <x v="1"/>
    <x v="9"/>
    <x v="1"/>
    <x v="4"/>
    <x v="1"/>
    <x v="0"/>
    <x v="0"/>
    <x v="21"/>
  </r>
  <r>
    <x v="192"/>
    <x v="129"/>
    <x v="0"/>
    <x v="11"/>
    <x v="192"/>
    <x v="3"/>
    <x v="191"/>
    <x v="16"/>
    <x v="28"/>
    <x v="30"/>
    <x v="1"/>
    <x v="10"/>
    <x v="0"/>
    <x v="4"/>
    <x v="1"/>
    <x v="0"/>
    <x v="1"/>
    <x v="28"/>
  </r>
  <r>
    <x v="193"/>
    <x v="129"/>
    <x v="2"/>
    <x v="2"/>
    <x v="193"/>
    <x v="2"/>
    <x v="192"/>
    <x v="5"/>
    <x v="39"/>
    <x v="59"/>
    <x v="1"/>
    <x v="20"/>
    <x v="2"/>
    <x v="4"/>
    <x v="1"/>
    <x v="0"/>
    <x v="0"/>
    <x v="39"/>
  </r>
  <r>
    <x v="194"/>
    <x v="130"/>
    <x v="1"/>
    <x v="1"/>
    <x v="194"/>
    <x v="0"/>
    <x v="193"/>
    <x v="22"/>
    <x v="63"/>
    <x v="75"/>
    <x v="1"/>
    <x v="21"/>
    <x v="0"/>
    <x v="4"/>
    <x v="1"/>
    <x v="0"/>
    <x v="0"/>
    <x v="63"/>
  </r>
  <r>
    <x v="195"/>
    <x v="131"/>
    <x v="3"/>
    <x v="3"/>
    <x v="195"/>
    <x v="1"/>
    <x v="194"/>
    <x v="44"/>
    <x v="62"/>
    <x v="74"/>
    <x v="1"/>
    <x v="7"/>
    <x v="1"/>
    <x v="4"/>
    <x v="1"/>
    <x v="0"/>
    <x v="0"/>
    <x v="62"/>
  </r>
  <r>
    <x v="196"/>
    <x v="131"/>
    <x v="0"/>
    <x v="0"/>
    <x v="196"/>
    <x v="3"/>
    <x v="195"/>
    <x v="15"/>
    <x v="64"/>
    <x v="76"/>
    <x v="1"/>
    <x v="22"/>
    <x v="0"/>
    <x v="4"/>
    <x v="1"/>
    <x v="0"/>
    <x v="1"/>
    <x v="64"/>
  </r>
  <r>
    <x v="197"/>
    <x v="132"/>
    <x v="2"/>
    <x v="6"/>
    <x v="197"/>
    <x v="2"/>
    <x v="196"/>
    <x v="37"/>
    <x v="57"/>
    <x v="63"/>
    <x v="1"/>
    <x v="19"/>
    <x v="2"/>
    <x v="4"/>
    <x v="1"/>
    <x v="0"/>
    <x v="0"/>
    <x v="57"/>
  </r>
  <r>
    <x v="198"/>
    <x v="133"/>
    <x v="1"/>
    <x v="4"/>
    <x v="198"/>
    <x v="0"/>
    <x v="197"/>
    <x v="45"/>
    <x v="38"/>
    <x v="42"/>
    <x v="1"/>
    <x v="20"/>
    <x v="0"/>
    <x v="4"/>
    <x v="1"/>
    <x v="0"/>
    <x v="0"/>
    <x v="38"/>
  </r>
  <r>
    <x v="199"/>
    <x v="133"/>
    <x v="3"/>
    <x v="9"/>
    <x v="199"/>
    <x v="1"/>
    <x v="198"/>
    <x v="46"/>
    <x v="65"/>
    <x v="77"/>
    <x v="1"/>
    <x v="9"/>
    <x v="1"/>
    <x v="4"/>
    <x v="1"/>
    <x v="0"/>
    <x v="0"/>
    <x v="65"/>
  </r>
  <r>
    <x v="200"/>
    <x v="134"/>
    <x v="0"/>
    <x v="0"/>
    <x v="0"/>
    <x v="0"/>
    <x v="199"/>
    <x v="7"/>
    <x v="66"/>
    <x v="78"/>
    <x v="0"/>
    <x v="23"/>
    <x v="0"/>
    <x v="5"/>
    <x v="1"/>
    <x v="0"/>
    <x v="1"/>
    <x v="66"/>
  </r>
  <r>
    <x v="201"/>
    <x v="134"/>
    <x v="1"/>
    <x v="1"/>
    <x v="1"/>
    <x v="1"/>
    <x v="200"/>
    <x v="2"/>
    <x v="2"/>
    <x v="2"/>
    <x v="1"/>
    <x v="2"/>
    <x v="1"/>
    <x v="5"/>
    <x v="1"/>
    <x v="0"/>
    <x v="0"/>
    <x v="2"/>
  </r>
  <r>
    <x v="202"/>
    <x v="135"/>
    <x v="2"/>
    <x v="2"/>
    <x v="2"/>
    <x v="2"/>
    <x v="201"/>
    <x v="31"/>
    <x v="67"/>
    <x v="79"/>
    <x v="2"/>
    <x v="24"/>
    <x v="2"/>
    <x v="5"/>
    <x v="1"/>
    <x v="0"/>
    <x v="0"/>
    <x v="67"/>
  </r>
  <r>
    <x v="203"/>
    <x v="135"/>
    <x v="3"/>
    <x v="3"/>
    <x v="3"/>
    <x v="3"/>
    <x v="202"/>
    <x v="15"/>
    <x v="68"/>
    <x v="80"/>
    <x v="4"/>
    <x v="25"/>
    <x v="0"/>
    <x v="5"/>
    <x v="1"/>
    <x v="0"/>
    <x v="1"/>
    <x v="68"/>
  </r>
  <r>
    <x v="204"/>
    <x v="136"/>
    <x v="1"/>
    <x v="4"/>
    <x v="4"/>
    <x v="0"/>
    <x v="203"/>
    <x v="3"/>
    <x v="69"/>
    <x v="81"/>
    <x v="3"/>
    <x v="26"/>
    <x v="0"/>
    <x v="5"/>
    <x v="1"/>
    <x v="0"/>
    <x v="1"/>
    <x v="69"/>
  </r>
  <r>
    <x v="205"/>
    <x v="136"/>
    <x v="0"/>
    <x v="5"/>
    <x v="5"/>
    <x v="1"/>
    <x v="204"/>
    <x v="18"/>
    <x v="19"/>
    <x v="17"/>
    <x v="1"/>
    <x v="3"/>
    <x v="1"/>
    <x v="5"/>
    <x v="1"/>
    <x v="0"/>
    <x v="1"/>
    <x v="19"/>
  </r>
  <r>
    <x v="206"/>
    <x v="137"/>
    <x v="2"/>
    <x v="6"/>
    <x v="6"/>
    <x v="2"/>
    <x v="205"/>
    <x v="30"/>
    <x v="70"/>
    <x v="82"/>
    <x v="1"/>
    <x v="27"/>
    <x v="2"/>
    <x v="5"/>
    <x v="1"/>
    <x v="0"/>
    <x v="0"/>
    <x v="70"/>
  </r>
  <r>
    <x v="207"/>
    <x v="137"/>
    <x v="1"/>
    <x v="1"/>
    <x v="7"/>
    <x v="0"/>
    <x v="206"/>
    <x v="9"/>
    <x v="71"/>
    <x v="83"/>
    <x v="5"/>
    <x v="28"/>
    <x v="0"/>
    <x v="5"/>
    <x v="1"/>
    <x v="0"/>
    <x v="0"/>
    <x v="71"/>
  </r>
  <r>
    <x v="208"/>
    <x v="138"/>
    <x v="3"/>
    <x v="7"/>
    <x v="8"/>
    <x v="3"/>
    <x v="207"/>
    <x v="13"/>
    <x v="72"/>
    <x v="84"/>
    <x v="6"/>
    <x v="29"/>
    <x v="1"/>
    <x v="5"/>
    <x v="1"/>
    <x v="0"/>
    <x v="1"/>
    <x v="72"/>
  </r>
  <r>
    <x v="209"/>
    <x v="138"/>
    <x v="0"/>
    <x v="0"/>
    <x v="9"/>
    <x v="1"/>
    <x v="208"/>
    <x v="15"/>
    <x v="73"/>
    <x v="85"/>
    <x v="1"/>
    <x v="4"/>
    <x v="0"/>
    <x v="5"/>
    <x v="1"/>
    <x v="0"/>
    <x v="1"/>
    <x v="73"/>
  </r>
  <r>
    <x v="210"/>
    <x v="139"/>
    <x v="2"/>
    <x v="2"/>
    <x v="10"/>
    <x v="2"/>
    <x v="209"/>
    <x v="5"/>
    <x v="74"/>
    <x v="86"/>
    <x v="1"/>
    <x v="23"/>
    <x v="2"/>
    <x v="5"/>
    <x v="1"/>
    <x v="0"/>
    <x v="0"/>
    <x v="74"/>
  </r>
  <r>
    <x v="211"/>
    <x v="139"/>
    <x v="1"/>
    <x v="8"/>
    <x v="11"/>
    <x v="0"/>
    <x v="210"/>
    <x v="16"/>
    <x v="67"/>
    <x v="87"/>
    <x v="0"/>
    <x v="24"/>
    <x v="1"/>
    <x v="5"/>
    <x v="1"/>
    <x v="0"/>
    <x v="1"/>
    <x v="67"/>
  </r>
  <r>
    <x v="212"/>
    <x v="140"/>
    <x v="0"/>
    <x v="5"/>
    <x v="12"/>
    <x v="1"/>
    <x v="211"/>
    <x v="31"/>
    <x v="4"/>
    <x v="88"/>
    <x v="1"/>
    <x v="6"/>
    <x v="0"/>
    <x v="5"/>
    <x v="1"/>
    <x v="0"/>
    <x v="0"/>
    <x v="4"/>
  </r>
  <r>
    <x v="213"/>
    <x v="140"/>
    <x v="3"/>
    <x v="3"/>
    <x v="13"/>
    <x v="3"/>
    <x v="212"/>
    <x v="8"/>
    <x v="75"/>
    <x v="89"/>
    <x v="7"/>
    <x v="30"/>
    <x v="0"/>
    <x v="5"/>
    <x v="1"/>
    <x v="0"/>
    <x v="1"/>
    <x v="75"/>
  </r>
  <r>
    <x v="214"/>
    <x v="141"/>
    <x v="2"/>
    <x v="6"/>
    <x v="14"/>
    <x v="2"/>
    <x v="213"/>
    <x v="10"/>
    <x v="76"/>
    <x v="90"/>
    <x v="1"/>
    <x v="25"/>
    <x v="2"/>
    <x v="5"/>
    <x v="1"/>
    <x v="0"/>
    <x v="0"/>
    <x v="76"/>
  </r>
  <r>
    <x v="215"/>
    <x v="141"/>
    <x v="1"/>
    <x v="1"/>
    <x v="15"/>
    <x v="0"/>
    <x v="214"/>
    <x v="25"/>
    <x v="77"/>
    <x v="91"/>
    <x v="2"/>
    <x v="23"/>
    <x v="0"/>
    <x v="5"/>
    <x v="1"/>
    <x v="0"/>
    <x v="1"/>
    <x v="77"/>
  </r>
  <r>
    <x v="216"/>
    <x v="142"/>
    <x v="0"/>
    <x v="0"/>
    <x v="16"/>
    <x v="1"/>
    <x v="215"/>
    <x v="7"/>
    <x v="78"/>
    <x v="92"/>
    <x v="3"/>
    <x v="27"/>
    <x v="1"/>
    <x v="5"/>
    <x v="1"/>
    <x v="0"/>
    <x v="1"/>
    <x v="78"/>
  </r>
  <r>
    <x v="217"/>
    <x v="142"/>
    <x v="2"/>
    <x v="2"/>
    <x v="17"/>
    <x v="2"/>
    <x v="216"/>
    <x v="20"/>
    <x v="79"/>
    <x v="93"/>
    <x v="1"/>
    <x v="28"/>
    <x v="2"/>
    <x v="5"/>
    <x v="1"/>
    <x v="0"/>
    <x v="0"/>
    <x v="79"/>
  </r>
  <r>
    <x v="218"/>
    <x v="143"/>
    <x v="3"/>
    <x v="9"/>
    <x v="18"/>
    <x v="3"/>
    <x v="217"/>
    <x v="0"/>
    <x v="70"/>
    <x v="94"/>
    <x v="0"/>
    <x v="6"/>
    <x v="0"/>
    <x v="5"/>
    <x v="1"/>
    <x v="0"/>
    <x v="1"/>
    <x v="70"/>
  </r>
  <r>
    <x v="219"/>
    <x v="143"/>
    <x v="1"/>
    <x v="4"/>
    <x v="19"/>
    <x v="0"/>
    <x v="218"/>
    <x v="5"/>
    <x v="80"/>
    <x v="95"/>
    <x v="1"/>
    <x v="24"/>
    <x v="1"/>
    <x v="5"/>
    <x v="1"/>
    <x v="0"/>
    <x v="1"/>
    <x v="80"/>
  </r>
  <r>
    <x v="220"/>
    <x v="144"/>
    <x v="0"/>
    <x v="10"/>
    <x v="20"/>
    <x v="1"/>
    <x v="219"/>
    <x v="47"/>
    <x v="68"/>
    <x v="96"/>
    <x v="1"/>
    <x v="25"/>
    <x v="0"/>
    <x v="5"/>
    <x v="1"/>
    <x v="0"/>
    <x v="0"/>
    <x v="68"/>
  </r>
  <r>
    <x v="221"/>
    <x v="144"/>
    <x v="2"/>
    <x v="6"/>
    <x v="21"/>
    <x v="2"/>
    <x v="220"/>
    <x v="17"/>
    <x v="81"/>
    <x v="97"/>
    <x v="1"/>
    <x v="30"/>
    <x v="2"/>
    <x v="5"/>
    <x v="1"/>
    <x v="0"/>
    <x v="0"/>
    <x v="81"/>
  </r>
  <r>
    <x v="222"/>
    <x v="145"/>
    <x v="1"/>
    <x v="1"/>
    <x v="22"/>
    <x v="3"/>
    <x v="221"/>
    <x v="4"/>
    <x v="0"/>
    <x v="98"/>
    <x v="2"/>
    <x v="2"/>
    <x v="0"/>
    <x v="5"/>
    <x v="1"/>
    <x v="0"/>
    <x v="1"/>
    <x v="0"/>
  </r>
  <r>
    <x v="223"/>
    <x v="145"/>
    <x v="3"/>
    <x v="3"/>
    <x v="23"/>
    <x v="0"/>
    <x v="222"/>
    <x v="11"/>
    <x v="82"/>
    <x v="90"/>
    <x v="3"/>
    <x v="28"/>
    <x v="1"/>
    <x v="5"/>
    <x v="1"/>
    <x v="0"/>
    <x v="1"/>
    <x v="82"/>
  </r>
  <r>
    <x v="224"/>
    <x v="146"/>
    <x v="0"/>
    <x v="11"/>
    <x v="24"/>
    <x v="1"/>
    <x v="223"/>
    <x v="2"/>
    <x v="25"/>
    <x v="99"/>
    <x v="1"/>
    <x v="4"/>
    <x v="0"/>
    <x v="5"/>
    <x v="1"/>
    <x v="0"/>
    <x v="0"/>
    <x v="25"/>
  </r>
  <r>
    <x v="225"/>
    <x v="146"/>
    <x v="2"/>
    <x v="2"/>
    <x v="25"/>
    <x v="2"/>
    <x v="224"/>
    <x v="14"/>
    <x v="83"/>
    <x v="100"/>
    <x v="0"/>
    <x v="26"/>
    <x v="2"/>
    <x v="5"/>
    <x v="1"/>
    <x v="0"/>
    <x v="0"/>
    <x v="83"/>
  </r>
  <r>
    <x v="226"/>
    <x v="147"/>
    <x v="1"/>
    <x v="1"/>
    <x v="26"/>
    <x v="0"/>
    <x v="225"/>
    <x v="9"/>
    <x v="6"/>
    <x v="101"/>
    <x v="2"/>
    <x v="6"/>
    <x v="0"/>
    <x v="5"/>
    <x v="1"/>
    <x v="0"/>
    <x v="1"/>
    <x v="6"/>
  </r>
  <r>
    <x v="227"/>
    <x v="147"/>
    <x v="0"/>
    <x v="0"/>
    <x v="27"/>
    <x v="1"/>
    <x v="226"/>
    <x v="22"/>
    <x v="84"/>
    <x v="89"/>
    <x v="1"/>
    <x v="2"/>
    <x v="1"/>
    <x v="5"/>
    <x v="1"/>
    <x v="0"/>
    <x v="0"/>
    <x v="84"/>
  </r>
  <r>
    <x v="228"/>
    <x v="148"/>
    <x v="3"/>
    <x v="12"/>
    <x v="28"/>
    <x v="3"/>
    <x v="227"/>
    <x v="7"/>
    <x v="19"/>
    <x v="17"/>
    <x v="0"/>
    <x v="27"/>
    <x v="0"/>
    <x v="5"/>
    <x v="1"/>
    <x v="0"/>
    <x v="1"/>
    <x v="19"/>
  </r>
  <r>
    <x v="229"/>
    <x v="148"/>
    <x v="2"/>
    <x v="6"/>
    <x v="29"/>
    <x v="2"/>
    <x v="228"/>
    <x v="48"/>
    <x v="78"/>
    <x v="102"/>
    <x v="1"/>
    <x v="24"/>
    <x v="2"/>
    <x v="5"/>
    <x v="1"/>
    <x v="0"/>
    <x v="0"/>
    <x v="78"/>
  </r>
  <r>
    <x v="230"/>
    <x v="149"/>
    <x v="1"/>
    <x v="4"/>
    <x v="30"/>
    <x v="0"/>
    <x v="229"/>
    <x v="27"/>
    <x v="85"/>
    <x v="103"/>
    <x v="1"/>
    <x v="30"/>
    <x v="1"/>
    <x v="5"/>
    <x v="1"/>
    <x v="0"/>
    <x v="0"/>
    <x v="85"/>
  </r>
  <r>
    <x v="231"/>
    <x v="149"/>
    <x v="0"/>
    <x v="5"/>
    <x v="31"/>
    <x v="1"/>
    <x v="230"/>
    <x v="10"/>
    <x v="19"/>
    <x v="21"/>
    <x v="1"/>
    <x v="3"/>
    <x v="0"/>
    <x v="5"/>
    <x v="1"/>
    <x v="0"/>
    <x v="0"/>
    <x v="19"/>
  </r>
  <r>
    <x v="232"/>
    <x v="150"/>
    <x v="2"/>
    <x v="2"/>
    <x v="32"/>
    <x v="2"/>
    <x v="231"/>
    <x v="31"/>
    <x v="71"/>
    <x v="83"/>
    <x v="1"/>
    <x v="31"/>
    <x v="2"/>
    <x v="5"/>
    <x v="1"/>
    <x v="0"/>
    <x v="0"/>
    <x v="71"/>
  </r>
  <r>
    <x v="233"/>
    <x v="150"/>
    <x v="1"/>
    <x v="1"/>
    <x v="33"/>
    <x v="3"/>
    <x v="232"/>
    <x v="25"/>
    <x v="86"/>
    <x v="99"/>
    <x v="8"/>
    <x v="6"/>
    <x v="0"/>
    <x v="5"/>
    <x v="1"/>
    <x v="0"/>
    <x v="1"/>
    <x v="86"/>
  </r>
  <r>
    <x v="234"/>
    <x v="151"/>
    <x v="3"/>
    <x v="3"/>
    <x v="34"/>
    <x v="0"/>
    <x v="233"/>
    <x v="10"/>
    <x v="76"/>
    <x v="104"/>
    <x v="2"/>
    <x v="27"/>
    <x v="1"/>
    <x v="5"/>
    <x v="1"/>
    <x v="0"/>
    <x v="1"/>
    <x v="76"/>
  </r>
  <r>
    <x v="235"/>
    <x v="151"/>
    <x v="0"/>
    <x v="0"/>
    <x v="35"/>
    <x v="1"/>
    <x v="234"/>
    <x v="20"/>
    <x v="87"/>
    <x v="105"/>
    <x v="1"/>
    <x v="6"/>
    <x v="0"/>
    <x v="5"/>
    <x v="1"/>
    <x v="0"/>
    <x v="0"/>
    <x v="87"/>
  </r>
  <r>
    <x v="236"/>
    <x v="152"/>
    <x v="2"/>
    <x v="6"/>
    <x v="36"/>
    <x v="2"/>
    <x v="235"/>
    <x v="2"/>
    <x v="68"/>
    <x v="96"/>
    <x v="1"/>
    <x v="25"/>
    <x v="2"/>
    <x v="5"/>
    <x v="1"/>
    <x v="0"/>
    <x v="0"/>
    <x v="68"/>
  </r>
  <r>
    <x v="237"/>
    <x v="152"/>
    <x v="1"/>
    <x v="8"/>
    <x v="37"/>
    <x v="0"/>
    <x v="236"/>
    <x v="19"/>
    <x v="3"/>
    <x v="3"/>
    <x v="1"/>
    <x v="5"/>
    <x v="0"/>
    <x v="5"/>
    <x v="1"/>
    <x v="0"/>
    <x v="0"/>
    <x v="3"/>
  </r>
  <r>
    <x v="238"/>
    <x v="153"/>
    <x v="3"/>
    <x v="9"/>
    <x v="38"/>
    <x v="3"/>
    <x v="237"/>
    <x v="16"/>
    <x v="5"/>
    <x v="1"/>
    <x v="0"/>
    <x v="3"/>
    <x v="1"/>
    <x v="5"/>
    <x v="1"/>
    <x v="0"/>
    <x v="1"/>
    <x v="5"/>
  </r>
  <r>
    <x v="239"/>
    <x v="153"/>
    <x v="2"/>
    <x v="2"/>
    <x v="39"/>
    <x v="2"/>
    <x v="238"/>
    <x v="47"/>
    <x v="88"/>
    <x v="106"/>
    <x v="1"/>
    <x v="23"/>
    <x v="2"/>
    <x v="5"/>
    <x v="1"/>
    <x v="0"/>
    <x v="0"/>
    <x v="88"/>
  </r>
  <r>
    <x v="240"/>
    <x v="154"/>
    <x v="1"/>
    <x v="1"/>
    <x v="40"/>
    <x v="1"/>
    <x v="239"/>
    <x v="11"/>
    <x v="75"/>
    <x v="107"/>
    <x v="1"/>
    <x v="32"/>
    <x v="0"/>
    <x v="5"/>
    <x v="1"/>
    <x v="0"/>
    <x v="0"/>
    <x v="75"/>
  </r>
  <r>
    <x v="241"/>
    <x v="154"/>
    <x v="0"/>
    <x v="0"/>
    <x v="41"/>
    <x v="0"/>
    <x v="240"/>
    <x v="0"/>
    <x v="89"/>
    <x v="108"/>
    <x v="0"/>
    <x v="24"/>
    <x v="1"/>
    <x v="5"/>
    <x v="1"/>
    <x v="0"/>
    <x v="1"/>
    <x v="89"/>
  </r>
  <r>
    <x v="242"/>
    <x v="155"/>
    <x v="2"/>
    <x v="6"/>
    <x v="42"/>
    <x v="2"/>
    <x v="241"/>
    <x v="17"/>
    <x v="0"/>
    <x v="0"/>
    <x v="1"/>
    <x v="2"/>
    <x v="2"/>
    <x v="5"/>
    <x v="1"/>
    <x v="0"/>
    <x v="0"/>
    <x v="0"/>
  </r>
  <r>
    <x v="243"/>
    <x v="155"/>
    <x v="3"/>
    <x v="7"/>
    <x v="43"/>
    <x v="3"/>
    <x v="242"/>
    <x v="5"/>
    <x v="8"/>
    <x v="7"/>
    <x v="3"/>
    <x v="5"/>
    <x v="0"/>
    <x v="5"/>
    <x v="1"/>
    <x v="0"/>
    <x v="1"/>
    <x v="8"/>
  </r>
  <r>
    <x v="244"/>
    <x v="156"/>
    <x v="1"/>
    <x v="4"/>
    <x v="44"/>
    <x v="0"/>
    <x v="243"/>
    <x v="15"/>
    <x v="90"/>
    <x v="86"/>
    <x v="1"/>
    <x v="33"/>
    <x v="0"/>
    <x v="5"/>
    <x v="1"/>
    <x v="0"/>
    <x v="1"/>
    <x v="90"/>
  </r>
  <r>
    <x v="245"/>
    <x v="156"/>
    <x v="0"/>
    <x v="10"/>
    <x v="45"/>
    <x v="1"/>
    <x v="244"/>
    <x v="27"/>
    <x v="79"/>
    <x v="93"/>
    <x v="1"/>
    <x v="25"/>
    <x v="1"/>
    <x v="5"/>
    <x v="1"/>
    <x v="0"/>
    <x v="0"/>
    <x v="79"/>
  </r>
  <r>
    <x v="246"/>
    <x v="157"/>
    <x v="2"/>
    <x v="2"/>
    <x v="46"/>
    <x v="2"/>
    <x v="245"/>
    <x v="31"/>
    <x v="19"/>
    <x v="21"/>
    <x v="1"/>
    <x v="27"/>
    <x v="2"/>
    <x v="5"/>
    <x v="1"/>
    <x v="0"/>
    <x v="0"/>
    <x v="19"/>
  </r>
  <r>
    <x v="247"/>
    <x v="157"/>
    <x v="1"/>
    <x v="1"/>
    <x v="47"/>
    <x v="0"/>
    <x v="246"/>
    <x v="3"/>
    <x v="87"/>
    <x v="82"/>
    <x v="2"/>
    <x v="6"/>
    <x v="0"/>
    <x v="5"/>
    <x v="1"/>
    <x v="0"/>
    <x v="1"/>
    <x v="87"/>
  </r>
  <r>
    <x v="248"/>
    <x v="158"/>
    <x v="3"/>
    <x v="3"/>
    <x v="48"/>
    <x v="3"/>
    <x v="247"/>
    <x v="1"/>
    <x v="91"/>
    <x v="109"/>
    <x v="0"/>
    <x v="4"/>
    <x v="1"/>
    <x v="5"/>
    <x v="1"/>
    <x v="0"/>
    <x v="1"/>
    <x v="91"/>
  </r>
  <r>
    <x v="249"/>
    <x v="158"/>
    <x v="0"/>
    <x v="5"/>
    <x v="49"/>
    <x v="1"/>
    <x v="248"/>
    <x v="6"/>
    <x v="11"/>
    <x v="7"/>
    <x v="1"/>
    <x v="1"/>
    <x v="0"/>
    <x v="5"/>
    <x v="1"/>
    <x v="0"/>
    <x v="0"/>
    <x v="11"/>
  </r>
  <r>
    <x v="250"/>
    <x v="159"/>
    <x v="2"/>
    <x v="6"/>
    <x v="50"/>
    <x v="2"/>
    <x v="249"/>
    <x v="10"/>
    <x v="87"/>
    <x v="105"/>
    <x v="1"/>
    <x v="30"/>
    <x v="2"/>
    <x v="5"/>
    <x v="1"/>
    <x v="0"/>
    <x v="0"/>
    <x v="87"/>
  </r>
  <r>
    <x v="251"/>
    <x v="159"/>
    <x v="1"/>
    <x v="8"/>
    <x v="51"/>
    <x v="0"/>
    <x v="250"/>
    <x v="4"/>
    <x v="19"/>
    <x v="17"/>
    <x v="1"/>
    <x v="3"/>
    <x v="0"/>
    <x v="5"/>
    <x v="1"/>
    <x v="0"/>
    <x v="1"/>
    <x v="19"/>
  </r>
  <r>
    <x v="252"/>
    <x v="160"/>
    <x v="3"/>
    <x v="12"/>
    <x v="52"/>
    <x v="1"/>
    <x v="251"/>
    <x v="20"/>
    <x v="25"/>
    <x v="99"/>
    <x v="1"/>
    <x v="4"/>
    <x v="1"/>
    <x v="5"/>
    <x v="1"/>
    <x v="0"/>
    <x v="0"/>
    <x v="25"/>
  </r>
  <r>
    <x v="253"/>
    <x v="160"/>
    <x v="0"/>
    <x v="0"/>
    <x v="53"/>
    <x v="3"/>
    <x v="252"/>
    <x v="9"/>
    <x v="9"/>
    <x v="110"/>
    <x v="2"/>
    <x v="5"/>
    <x v="0"/>
    <x v="5"/>
    <x v="1"/>
    <x v="0"/>
    <x v="1"/>
    <x v="9"/>
  </r>
  <r>
    <x v="254"/>
    <x v="161"/>
    <x v="2"/>
    <x v="2"/>
    <x v="54"/>
    <x v="2"/>
    <x v="253"/>
    <x v="2"/>
    <x v="68"/>
    <x v="96"/>
    <x v="1"/>
    <x v="26"/>
    <x v="2"/>
    <x v="5"/>
    <x v="1"/>
    <x v="0"/>
    <x v="0"/>
    <x v="68"/>
  </r>
  <r>
    <x v="255"/>
    <x v="161"/>
    <x v="1"/>
    <x v="1"/>
    <x v="55"/>
    <x v="0"/>
    <x v="254"/>
    <x v="7"/>
    <x v="0"/>
    <x v="0"/>
    <x v="1"/>
    <x v="3"/>
    <x v="0"/>
    <x v="5"/>
    <x v="1"/>
    <x v="0"/>
    <x v="0"/>
    <x v="0"/>
  </r>
  <r>
    <x v="256"/>
    <x v="162"/>
    <x v="3"/>
    <x v="3"/>
    <x v="56"/>
    <x v="1"/>
    <x v="255"/>
    <x v="28"/>
    <x v="92"/>
    <x v="111"/>
    <x v="1"/>
    <x v="0"/>
    <x v="1"/>
    <x v="5"/>
    <x v="1"/>
    <x v="0"/>
    <x v="0"/>
    <x v="92"/>
  </r>
  <r>
    <x v="257"/>
    <x v="162"/>
    <x v="0"/>
    <x v="11"/>
    <x v="57"/>
    <x v="3"/>
    <x v="256"/>
    <x v="0"/>
    <x v="65"/>
    <x v="112"/>
    <x v="2"/>
    <x v="1"/>
    <x v="0"/>
    <x v="5"/>
    <x v="1"/>
    <x v="0"/>
    <x v="1"/>
    <x v="65"/>
  </r>
  <r>
    <x v="258"/>
    <x v="163"/>
    <x v="2"/>
    <x v="6"/>
    <x v="58"/>
    <x v="2"/>
    <x v="257"/>
    <x v="10"/>
    <x v="76"/>
    <x v="90"/>
    <x v="1"/>
    <x v="25"/>
    <x v="2"/>
    <x v="5"/>
    <x v="1"/>
    <x v="0"/>
    <x v="0"/>
    <x v="76"/>
  </r>
  <r>
    <x v="259"/>
    <x v="163"/>
    <x v="1"/>
    <x v="4"/>
    <x v="59"/>
    <x v="0"/>
    <x v="258"/>
    <x v="27"/>
    <x v="19"/>
    <x v="21"/>
    <x v="1"/>
    <x v="4"/>
    <x v="0"/>
    <x v="5"/>
    <x v="1"/>
    <x v="0"/>
    <x v="0"/>
    <x v="19"/>
  </r>
  <r>
    <x v="260"/>
    <x v="164"/>
    <x v="0"/>
    <x v="0"/>
    <x v="60"/>
    <x v="1"/>
    <x v="259"/>
    <x v="25"/>
    <x v="8"/>
    <x v="10"/>
    <x v="1"/>
    <x v="7"/>
    <x v="1"/>
    <x v="6"/>
    <x v="2"/>
    <x v="0"/>
    <x v="0"/>
    <x v="8"/>
  </r>
  <r>
    <x v="261"/>
    <x v="164"/>
    <x v="3"/>
    <x v="9"/>
    <x v="61"/>
    <x v="3"/>
    <x v="260"/>
    <x v="11"/>
    <x v="8"/>
    <x v="7"/>
    <x v="0"/>
    <x v="1"/>
    <x v="0"/>
    <x v="6"/>
    <x v="2"/>
    <x v="0"/>
    <x v="1"/>
    <x v="8"/>
  </r>
  <r>
    <x v="262"/>
    <x v="165"/>
    <x v="2"/>
    <x v="2"/>
    <x v="62"/>
    <x v="2"/>
    <x v="261"/>
    <x v="31"/>
    <x v="93"/>
    <x v="113"/>
    <x v="1"/>
    <x v="27"/>
    <x v="2"/>
    <x v="6"/>
    <x v="2"/>
    <x v="0"/>
    <x v="0"/>
    <x v="93"/>
  </r>
  <r>
    <x v="263"/>
    <x v="165"/>
    <x v="1"/>
    <x v="1"/>
    <x v="63"/>
    <x v="0"/>
    <x v="262"/>
    <x v="12"/>
    <x v="78"/>
    <x v="102"/>
    <x v="2"/>
    <x v="32"/>
    <x v="0"/>
    <x v="6"/>
    <x v="2"/>
    <x v="0"/>
    <x v="0"/>
    <x v="78"/>
  </r>
  <r>
    <x v="264"/>
    <x v="166"/>
    <x v="0"/>
    <x v="5"/>
    <x v="64"/>
    <x v="1"/>
    <x v="263"/>
    <x v="6"/>
    <x v="7"/>
    <x v="6"/>
    <x v="1"/>
    <x v="5"/>
    <x v="1"/>
    <x v="6"/>
    <x v="2"/>
    <x v="0"/>
    <x v="0"/>
    <x v="7"/>
  </r>
  <r>
    <x v="265"/>
    <x v="166"/>
    <x v="2"/>
    <x v="6"/>
    <x v="65"/>
    <x v="2"/>
    <x v="264"/>
    <x v="10"/>
    <x v="70"/>
    <x v="82"/>
    <x v="1"/>
    <x v="30"/>
    <x v="2"/>
    <x v="6"/>
    <x v="2"/>
    <x v="0"/>
    <x v="0"/>
    <x v="70"/>
  </r>
  <r>
    <x v="266"/>
    <x v="167"/>
    <x v="1"/>
    <x v="8"/>
    <x v="66"/>
    <x v="0"/>
    <x v="265"/>
    <x v="15"/>
    <x v="2"/>
    <x v="21"/>
    <x v="0"/>
    <x v="2"/>
    <x v="0"/>
    <x v="6"/>
    <x v="2"/>
    <x v="0"/>
    <x v="1"/>
    <x v="2"/>
  </r>
  <r>
    <x v="267"/>
    <x v="167"/>
    <x v="3"/>
    <x v="3"/>
    <x v="67"/>
    <x v="3"/>
    <x v="266"/>
    <x v="3"/>
    <x v="10"/>
    <x v="18"/>
    <x v="1"/>
    <x v="1"/>
    <x v="1"/>
    <x v="6"/>
    <x v="2"/>
    <x v="0"/>
    <x v="1"/>
    <x v="10"/>
  </r>
  <r>
    <x v="268"/>
    <x v="168"/>
    <x v="0"/>
    <x v="0"/>
    <x v="68"/>
    <x v="1"/>
    <x v="267"/>
    <x v="31"/>
    <x v="4"/>
    <x v="88"/>
    <x v="1"/>
    <x v="6"/>
    <x v="0"/>
    <x v="6"/>
    <x v="2"/>
    <x v="0"/>
    <x v="0"/>
    <x v="4"/>
  </r>
  <r>
    <x v="269"/>
    <x v="168"/>
    <x v="2"/>
    <x v="2"/>
    <x v="69"/>
    <x v="2"/>
    <x v="268"/>
    <x v="47"/>
    <x v="94"/>
    <x v="114"/>
    <x v="1"/>
    <x v="34"/>
    <x v="2"/>
    <x v="6"/>
    <x v="2"/>
    <x v="0"/>
    <x v="0"/>
    <x v="94"/>
  </r>
  <r>
    <x v="270"/>
    <x v="169"/>
    <x v="1"/>
    <x v="1"/>
    <x v="70"/>
    <x v="0"/>
    <x v="269"/>
    <x v="5"/>
    <x v="5"/>
    <x v="5"/>
    <x v="2"/>
    <x v="5"/>
    <x v="0"/>
    <x v="6"/>
    <x v="2"/>
    <x v="0"/>
    <x v="0"/>
    <x v="5"/>
  </r>
  <r>
    <x v="271"/>
    <x v="169"/>
    <x v="3"/>
    <x v="7"/>
    <x v="71"/>
    <x v="1"/>
    <x v="270"/>
    <x v="2"/>
    <x v="13"/>
    <x v="14"/>
    <x v="1"/>
    <x v="2"/>
    <x v="1"/>
    <x v="6"/>
    <x v="2"/>
    <x v="0"/>
    <x v="0"/>
    <x v="13"/>
  </r>
  <r>
    <x v="272"/>
    <x v="170"/>
    <x v="0"/>
    <x v="10"/>
    <x v="72"/>
    <x v="3"/>
    <x v="271"/>
    <x v="16"/>
    <x v="11"/>
    <x v="11"/>
    <x v="0"/>
    <x v="7"/>
    <x v="0"/>
    <x v="6"/>
    <x v="2"/>
    <x v="0"/>
    <x v="1"/>
    <x v="11"/>
  </r>
  <r>
    <x v="273"/>
    <x v="170"/>
    <x v="2"/>
    <x v="6"/>
    <x v="73"/>
    <x v="2"/>
    <x v="272"/>
    <x v="48"/>
    <x v="83"/>
    <x v="100"/>
    <x v="1"/>
    <x v="26"/>
    <x v="2"/>
    <x v="6"/>
    <x v="2"/>
    <x v="0"/>
    <x v="0"/>
    <x v="83"/>
  </r>
  <r>
    <x v="274"/>
    <x v="171"/>
    <x v="1"/>
    <x v="4"/>
    <x v="74"/>
    <x v="0"/>
    <x v="273"/>
    <x v="18"/>
    <x v="91"/>
    <x v="109"/>
    <x v="1"/>
    <x v="5"/>
    <x v="0"/>
    <x v="6"/>
    <x v="2"/>
    <x v="0"/>
    <x v="1"/>
    <x v="91"/>
  </r>
  <r>
    <x v="275"/>
    <x v="171"/>
    <x v="0"/>
    <x v="5"/>
    <x v="75"/>
    <x v="1"/>
    <x v="274"/>
    <x v="30"/>
    <x v="95"/>
    <x v="115"/>
    <x v="1"/>
    <x v="11"/>
    <x v="1"/>
    <x v="6"/>
    <x v="2"/>
    <x v="0"/>
    <x v="0"/>
    <x v="95"/>
  </r>
  <r>
    <x v="276"/>
    <x v="172"/>
    <x v="2"/>
    <x v="2"/>
    <x v="76"/>
    <x v="2"/>
    <x v="275"/>
    <x v="12"/>
    <x v="70"/>
    <x v="82"/>
    <x v="1"/>
    <x v="4"/>
    <x v="2"/>
    <x v="6"/>
    <x v="2"/>
    <x v="0"/>
    <x v="0"/>
    <x v="70"/>
  </r>
  <r>
    <x v="277"/>
    <x v="172"/>
    <x v="1"/>
    <x v="1"/>
    <x v="77"/>
    <x v="3"/>
    <x v="276"/>
    <x v="29"/>
    <x v="5"/>
    <x v="1"/>
    <x v="2"/>
    <x v="0"/>
    <x v="0"/>
    <x v="6"/>
    <x v="2"/>
    <x v="0"/>
    <x v="1"/>
    <x v="5"/>
  </r>
  <r>
    <x v="278"/>
    <x v="173"/>
    <x v="3"/>
    <x v="3"/>
    <x v="78"/>
    <x v="0"/>
    <x v="277"/>
    <x v="9"/>
    <x v="0"/>
    <x v="0"/>
    <x v="1"/>
    <x v="3"/>
    <x v="1"/>
    <x v="6"/>
    <x v="2"/>
    <x v="0"/>
    <x v="0"/>
    <x v="0"/>
  </r>
  <r>
    <x v="279"/>
    <x v="173"/>
    <x v="0"/>
    <x v="0"/>
    <x v="79"/>
    <x v="1"/>
    <x v="278"/>
    <x v="19"/>
    <x v="3"/>
    <x v="3"/>
    <x v="1"/>
    <x v="1"/>
    <x v="0"/>
    <x v="6"/>
    <x v="2"/>
    <x v="0"/>
    <x v="0"/>
    <x v="3"/>
  </r>
  <r>
    <x v="280"/>
    <x v="174"/>
    <x v="2"/>
    <x v="6"/>
    <x v="80"/>
    <x v="2"/>
    <x v="279"/>
    <x v="6"/>
    <x v="96"/>
    <x v="92"/>
    <x v="1"/>
    <x v="6"/>
    <x v="2"/>
    <x v="6"/>
    <x v="2"/>
    <x v="0"/>
    <x v="0"/>
    <x v="96"/>
  </r>
  <r>
    <x v="281"/>
    <x v="174"/>
    <x v="1"/>
    <x v="8"/>
    <x v="81"/>
    <x v="0"/>
    <x v="280"/>
    <x v="7"/>
    <x v="17"/>
    <x v="19"/>
    <x v="0"/>
    <x v="7"/>
    <x v="0"/>
    <x v="6"/>
    <x v="2"/>
    <x v="0"/>
    <x v="0"/>
    <x v="17"/>
  </r>
  <r>
    <x v="282"/>
    <x v="175"/>
    <x v="3"/>
    <x v="12"/>
    <x v="82"/>
    <x v="3"/>
    <x v="281"/>
    <x v="10"/>
    <x v="5"/>
    <x v="1"/>
    <x v="1"/>
    <x v="3"/>
    <x v="1"/>
    <x v="6"/>
    <x v="2"/>
    <x v="0"/>
    <x v="1"/>
    <x v="5"/>
  </r>
  <r>
    <x v="283"/>
    <x v="175"/>
    <x v="0"/>
    <x v="11"/>
    <x v="83"/>
    <x v="1"/>
    <x v="282"/>
    <x v="24"/>
    <x v="11"/>
    <x v="7"/>
    <x v="1"/>
    <x v="9"/>
    <x v="0"/>
    <x v="6"/>
    <x v="2"/>
    <x v="0"/>
    <x v="0"/>
    <x v="11"/>
  </r>
  <r>
    <x v="284"/>
    <x v="176"/>
    <x v="2"/>
    <x v="2"/>
    <x v="84"/>
    <x v="2"/>
    <x v="283"/>
    <x v="2"/>
    <x v="86"/>
    <x v="116"/>
    <x v="1"/>
    <x v="2"/>
    <x v="2"/>
    <x v="6"/>
    <x v="2"/>
    <x v="0"/>
    <x v="0"/>
    <x v="86"/>
  </r>
  <r>
    <x v="285"/>
    <x v="176"/>
    <x v="1"/>
    <x v="1"/>
    <x v="85"/>
    <x v="0"/>
    <x v="284"/>
    <x v="6"/>
    <x v="11"/>
    <x v="7"/>
    <x v="1"/>
    <x v="1"/>
    <x v="0"/>
    <x v="6"/>
    <x v="2"/>
    <x v="0"/>
    <x v="0"/>
    <x v="11"/>
  </r>
  <r>
    <x v="286"/>
    <x v="177"/>
    <x v="3"/>
    <x v="3"/>
    <x v="86"/>
    <x v="3"/>
    <x v="285"/>
    <x v="22"/>
    <x v="14"/>
    <x v="13"/>
    <x v="2"/>
    <x v="1"/>
    <x v="1"/>
    <x v="6"/>
    <x v="2"/>
    <x v="0"/>
    <x v="1"/>
    <x v="14"/>
  </r>
  <r>
    <x v="287"/>
    <x v="177"/>
    <x v="0"/>
    <x v="0"/>
    <x v="87"/>
    <x v="1"/>
    <x v="286"/>
    <x v="2"/>
    <x v="8"/>
    <x v="10"/>
    <x v="1"/>
    <x v="7"/>
    <x v="0"/>
    <x v="6"/>
    <x v="2"/>
    <x v="0"/>
    <x v="0"/>
    <x v="8"/>
  </r>
  <r>
    <x v="288"/>
    <x v="178"/>
    <x v="2"/>
    <x v="6"/>
    <x v="88"/>
    <x v="2"/>
    <x v="287"/>
    <x v="49"/>
    <x v="97"/>
    <x v="117"/>
    <x v="1"/>
    <x v="35"/>
    <x v="2"/>
    <x v="6"/>
    <x v="2"/>
    <x v="0"/>
    <x v="0"/>
    <x v="97"/>
  </r>
  <r>
    <x v="289"/>
    <x v="178"/>
    <x v="1"/>
    <x v="4"/>
    <x v="89"/>
    <x v="0"/>
    <x v="288"/>
    <x v="19"/>
    <x v="47"/>
    <x v="26"/>
    <x v="0"/>
    <x v="10"/>
    <x v="0"/>
    <x v="6"/>
    <x v="2"/>
    <x v="0"/>
    <x v="0"/>
    <x v="47"/>
  </r>
  <r>
    <x v="290"/>
    <x v="179"/>
    <x v="3"/>
    <x v="9"/>
    <x v="90"/>
    <x v="3"/>
    <x v="289"/>
    <x v="7"/>
    <x v="17"/>
    <x v="38"/>
    <x v="1"/>
    <x v="1"/>
    <x v="1"/>
    <x v="6"/>
    <x v="2"/>
    <x v="0"/>
    <x v="1"/>
    <x v="17"/>
  </r>
  <r>
    <x v="291"/>
    <x v="179"/>
    <x v="0"/>
    <x v="5"/>
    <x v="91"/>
    <x v="1"/>
    <x v="290"/>
    <x v="11"/>
    <x v="95"/>
    <x v="115"/>
    <x v="1"/>
    <x v="9"/>
    <x v="0"/>
    <x v="6"/>
    <x v="2"/>
    <x v="0"/>
    <x v="0"/>
    <x v="95"/>
  </r>
  <r>
    <x v="292"/>
    <x v="180"/>
    <x v="2"/>
    <x v="2"/>
    <x v="92"/>
    <x v="2"/>
    <x v="291"/>
    <x v="31"/>
    <x v="19"/>
    <x v="21"/>
    <x v="1"/>
    <x v="6"/>
    <x v="2"/>
    <x v="6"/>
    <x v="2"/>
    <x v="0"/>
    <x v="0"/>
    <x v="19"/>
  </r>
  <r>
    <x v="293"/>
    <x v="180"/>
    <x v="1"/>
    <x v="1"/>
    <x v="93"/>
    <x v="0"/>
    <x v="292"/>
    <x v="2"/>
    <x v="3"/>
    <x v="3"/>
    <x v="2"/>
    <x v="5"/>
    <x v="0"/>
    <x v="6"/>
    <x v="2"/>
    <x v="0"/>
    <x v="0"/>
    <x v="3"/>
  </r>
  <r>
    <x v="294"/>
    <x v="181"/>
    <x v="3"/>
    <x v="7"/>
    <x v="94"/>
    <x v="3"/>
    <x v="293"/>
    <x v="12"/>
    <x v="21"/>
    <x v="64"/>
    <x v="1"/>
    <x v="7"/>
    <x v="1"/>
    <x v="6"/>
    <x v="2"/>
    <x v="0"/>
    <x v="1"/>
    <x v="21"/>
  </r>
  <r>
    <x v="295"/>
    <x v="181"/>
    <x v="0"/>
    <x v="0"/>
    <x v="95"/>
    <x v="1"/>
    <x v="294"/>
    <x v="9"/>
    <x v="0"/>
    <x v="0"/>
    <x v="1"/>
    <x v="3"/>
    <x v="0"/>
    <x v="6"/>
    <x v="2"/>
    <x v="0"/>
    <x v="0"/>
    <x v="0"/>
  </r>
  <r>
    <x v="296"/>
    <x v="182"/>
    <x v="2"/>
    <x v="6"/>
    <x v="96"/>
    <x v="2"/>
    <x v="295"/>
    <x v="48"/>
    <x v="67"/>
    <x v="79"/>
    <x v="1"/>
    <x v="28"/>
    <x v="2"/>
    <x v="6"/>
    <x v="2"/>
    <x v="0"/>
    <x v="0"/>
    <x v="67"/>
  </r>
  <r>
    <x v="297"/>
    <x v="182"/>
    <x v="1"/>
    <x v="8"/>
    <x v="97"/>
    <x v="0"/>
    <x v="296"/>
    <x v="31"/>
    <x v="22"/>
    <x v="31"/>
    <x v="1"/>
    <x v="7"/>
    <x v="0"/>
    <x v="6"/>
    <x v="2"/>
    <x v="0"/>
    <x v="0"/>
    <x v="22"/>
  </r>
  <r>
    <x v="298"/>
    <x v="183"/>
    <x v="3"/>
    <x v="3"/>
    <x v="98"/>
    <x v="1"/>
    <x v="297"/>
    <x v="27"/>
    <x v="34"/>
    <x v="18"/>
    <x v="1"/>
    <x v="10"/>
    <x v="1"/>
    <x v="6"/>
    <x v="2"/>
    <x v="0"/>
    <x v="0"/>
    <x v="34"/>
  </r>
  <r>
    <x v="299"/>
    <x v="183"/>
    <x v="0"/>
    <x v="10"/>
    <x v="99"/>
    <x v="3"/>
    <x v="298"/>
    <x v="25"/>
    <x v="17"/>
    <x v="38"/>
    <x v="0"/>
    <x v="9"/>
    <x v="0"/>
    <x v="6"/>
    <x v="2"/>
    <x v="0"/>
    <x v="1"/>
    <x v="17"/>
  </r>
  <r>
    <x v="300"/>
    <x v="184"/>
    <x v="2"/>
    <x v="2"/>
    <x v="100"/>
    <x v="2"/>
    <x v="299"/>
    <x v="20"/>
    <x v="85"/>
    <x v="103"/>
    <x v="1"/>
    <x v="25"/>
    <x v="2"/>
    <x v="6"/>
    <x v="2"/>
    <x v="0"/>
    <x v="0"/>
    <x v="85"/>
  </r>
  <r>
    <x v="301"/>
    <x v="184"/>
    <x v="1"/>
    <x v="1"/>
    <x v="101"/>
    <x v="0"/>
    <x v="300"/>
    <x v="2"/>
    <x v="2"/>
    <x v="2"/>
    <x v="1"/>
    <x v="2"/>
    <x v="0"/>
    <x v="6"/>
    <x v="2"/>
    <x v="0"/>
    <x v="0"/>
    <x v="2"/>
  </r>
  <r>
    <x v="302"/>
    <x v="185"/>
    <x v="3"/>
    <x v="12"/>
    <x v="102"/>
    <x v="1"/>
    <x v="301"/>
    <x v="50"/>
    <x v="0"/>
    <x v="0"/>
    <x v="1"/>
    <x v="30"/>
    <x v="1"/>
    <x v="6"/>
    <x v="2"/>
    <x v="0"/>
    <x v="0"/>
    <x v="0"/>
  </r>
  <r>
    <x v="303"/>
    <x v="185"/>
    <x v="0"/>
    <x v="0"/>
    <x v="103"/>
    <x v="3"/>
    <x v="302"/>
    <x v="15"/>
    <x v="17"/>
    <x v="38"/>
    <x v="2"/>
    <x v="1"/>
    <x v="0"/>
    <x v="6"/>
    <x v="2"/>
    <x v="0"/>
    <x v="1"/>
    <x v="17"/>
  </r>
  <r>
    <x v="304"/>
    <x v="186"/>
    <x v="2"/>
    <x v="6"/>
    <x v="104"/>
    <x v="2"/>
    <x v="303"/>
    <x v="17"/>
    <x v="2"/>
    <x v="2"/>
    <x v="1"/>
    <x v="27"/>
    <x v="2"/>
    <x v="6"/>
    <x v="2"/>
    <x v="0"/>
    <x v="0"/>
    <x v="2"/>
  </r>
  <r>
    <x v="305"/>
    <x v="186"/>
    <x v="1"/>
    <x v="4"/>
    <x v="105"/>
    <x v="0"/>
    <x v="304"/>
    <x v="10"/>
    <x v="34"/>
    <x v="18"/>
    <x v="1"/>
    <x v="20"/>
    <x v="0"/>
    <x v="6"/>
    <x v="2"/>
    <x v="0"/>
    <x v="0"/>
    <x v="34"/>
  </r>
  <r>
    <x v="306"/>
    <x v="187"/>
    <x v="3"/>
    <x v="3"/>
    <x v="106"/>
    <x v="1"/>
    <x v="305"/>
    <x v="6"/>
    <x v="11"/>
    <x v="7"/>
    <x v="1"/>
    <x v="7"/>
    <x v="1"/>
    <x v="6"/>
    <x v="2"/>
    <x v="0"/>
    <x v="0"/>
    <x v="11"/>
  </r>
  <r>
    <x v="307"/>
    <x v="187"/>
    <x v="0"/>
    <x v="5"/>
    <x v="107"/>
    <x v="3"/>
    <x v="306"/>
    <x v="0"/>
    <x v="95"/>
    <x v="118"/>
    <x v="0"/>
    <x v="5"/>
    <x v="0"/>
    <x v="6"/>
    <x v="2"/>
    <x v="0"/>
    <x v="1"/>
    <x v="95"/>
  </r>
  <r>
    <x v="308"/>
    <x v="188"/>
    <x v="2"/>
    <x v="2"/>
    <x v="108"/>
    <x v="2"/>
    <x v="307"/>
    <x v="20"/>
    <x v="75"/>
    <x v="107"/>
    <x v="1"/>
    <x v="30"/>
    <x v="2"/>
    <x v="6"/>
    <x v="2"/>
    <x v="0"/>
    <x v="0"/>
    <x v="75"/>
  </r>
  <r>
    <x v="309"/>
    <x v="188"/>
    <x v="1"/>
    <x v="1"/>
    <x v="109"/>
    <x v="0"/>
    <x v="308"/>
    <x v="6"/>
    <x v="11"/>
    <x v="7"/>
    <x v="1"/>
    <x v="1"/>
    <x v="0"/>
    <x v="6"/>
    <x v="2"/>
    <x v="0"/>
    <x v="0"/>
    <x v="11"/>
  </r>
  <r>
    <x v="310"/>
    <x v="189"/>
    <x v="3"/>
    <x v="9"/>
    <x v="110"/>
    <x v="1"/>
    <x v="309"/>
    <x v="19"/>
    <x v="23"/>
    <x v="67"/>
    <x v="1"/>
    <x v="10"/>
    <x v="1"/>
    <x v="6"/>
    <x v="2"/>
    <x v="0"/>
    <x v="0"/>
    <x v="23"/>
  </r>
  <r>
    <x v="311"/>
    <x v="189"/>
    <x v="0"/>
    <x v="0"/>
    <x v="111"/>
    <x v="3"/>
    <x v="310"/>
    <x v="13"/>
    <x v="34"/>
    <x v="32"/>
    <x v="0"/>
    <x v="7"/>
    <x v="0"/>
    <x v="6"/>
    <x v="2"/>
    <x v="0"/>
    <x v="1"/>
    <x v="34"/>
  </r>
  <r>
    <x v="312"/>
    <x v="190"/>
    <x v="2"/>
    <x v="6"/>
    <x v="112"/>
    <x v="2"/>
    <x v="311"/>
    <x v="10"/>
    <x v="5"/>
    <x v="5"/>
    <x v="1"/>
    <x v="4"/>
    <x v="2"/>
    <x v="6"/>
    <x v="2"/>
    <x v="0"/>
    <x v="0"/>
    <x v="5"/>
  </r>
  <r>
    <x v="313"/>
    <x v="190"/>
    <x v="1"/>
    <x v="8"/>
    <x v="113"/>
    <x v="0"/>
    <x v="312"/>
    <x v="19"/>
    <x v="10"/>
    <x v="9"/>
    <x v="1"/>
    <x v="7"/>
    <x v="0"/>
    <x v="6"/>
    <x v="2"/>
    <x v="0"/>
    <x v="0"/>
    <x v="10"/>
  </r>
  <r>
    <x v="314"/>
    <x v="191"/>
    <x v="3"/>
    <x v="7"/>
    <x v="114"/>
    <x v="1"/>
    <x v="313"/>
    <x v="17"/>
    <x v="22"/>
    <x v="31"/>
    <x v="1"/>
    <x v="20"/>
    <x v="1"/>
    <x v="6"/>
    <x v="2"/>
    <x v="0"/>
    <x v="0"/>
    <x v="22"/>
  </r>
  <r>
    <x v="315"/>
    <x v="191"/>
    <x v="0"/>
    <x v="10"/>
    <x v="115"/>
    <x v="3"/>
    <x v="314"/>
    <x v="27"/>
    <x v="34"/>
    <x v="32"/>
    <x v="1"/>
    <x v="1"/>
    <x v="0"/>
    <x v="6"/>
    <x v="2"/>
    <x v="0"/>
    <x v="1"/>
    <x v="34"/>
  </r>
  <r>
    <x v="316"/>
    <x v="192"/>
    <x v="2"/>
    <x v="2"/>
    <x v="116"/>
    <x v="2"/>
    <x v="315"/>
    <x v="10"/>
    <x v="84"/>
    <x v="89"/>
    <x v="1"/>
    <x v="27"/>
    <x v="2"/>
    <x v="6"/>
    <x v="2"/>
    <x v="0"/>
    <x v="0"/>
    <x v="84"/>
  </r>
  <r>
    <x v="317"/>
    <x v="192"/>
    <x v="1"/>
    <x v="1"/>
    <x v="117"/>
    <x v="0"/>
    <x v="316"/>
    <x v="9"/>
    <x v="35"/>
    <x v="38"/>
    <x v="1"/>
    <x v="7"/>
    <x v="0"/>
    <x v="6"/>
    <x v="2"/>
    <x v="0"/>
    <x v="0"/>
    <x v="35"/>
  </r>
  <r>
    <x v="318"/>
    <x v="193"/>
    <x v="3"/>
    <x v="3"/>
    <x v="118"/>
    <x v="1"/>
    <x v="317"/>
    <x v="14"/>
    <x v="43"/>
    <x v="64"/>
    <x v="1"/>
    <x v="19"/>
    <x v="1"/>
    <x v="6"/>
    <x v="2"/>
    <x v="0"/>
    <x v="0"/>
    <x v="43"/>
  </r>
  <r>
    <x v="319"/>
    <x v="193"/>
    <x v="0"/>
    <x v="5"/>
    <x v="119"/>
    <x v="3"/>
    <x v="318"/>
    <x v="25"/>
    <x v="34"/>
    <x v="32"/>
    <x v="0"/>
    <x v="10"/>
    <x v="0"/>
    <x v="6"/>
    <x v="2"/>
    <x v="0"/>
    <x v="1"/>
    <x v="34"/>
  </r>
  <r>
    <x v="320"/>
    <x v="194"/>
    <x v="2"/>
    <x v="6"/>
    <x v="120"/>
    <x v="2"/>
    <x v="319"/>
    <x v="17"/>
    <x v="4"/>
    <x v="88"/>
    <x v="1"/>
    <x v="30"/>
    <x v="2"/>
    <x v="6"/>
    <x v="2"/>
    <x v="0"/>
    <x v="0"/>
    <x v="4"/>
  </r>
  <r>
    <x v="321"/>
    <x v="194"/>
    <x v="1"/>
    <x v="4"/>
    <x v="121"/>
    <x v="0"/>
    <x v="320"/>
    <x v="31"/>
    <x v="22"/>
    <x v="31"/>
    <x v="1"/>
    <x v="7"/>
    <x v="0"/>
    <x v="6"/>
    <x v="2"/>
    <x v="0"/>
    <x v="0"/>
    <x v="22"/>
  </r>
  <r>
    <x v="322"/>
    <x v="195"/>
    <x v="0"/>
    <x v="0"/>
    <x v="122"/>
    <x v="1"/>
    <x v="321"/>
    <x v="47"/>
    <x v="29"/>
    <x v="33"/>
    <x v="1"/>
    <x v="10"/>
    <x v="1"/>
    <x v="7"/>
    <x v="2"/>
    <x v="0"/>
    <x v="0"/>
    <x v="29"/>
  </r>
  <r>
    <x v="323"/>
    <x v="195"/>
    <x v="2"/>
    <x v="2"/>
    <x v="123"/>
    <x v="3"/>
    <x v="322"/>
    <x v="9"/>
    <x v="35"/>
    <x v="39"/>
    <x v="1"/>
    <x v="9"/>
    <x v="0"/>
    <x v="7"/>
    <x v="2"/>
    <x v="0"/>
    <x v="1"/>
    <x v="35"/>
  </r>
  <r>
    <x v="324"/>
    <x v="196"/>
    <x v="1"/>
    <x v="1"/>
    <x v="124"/>
    <x v="0"/>
    <x v="323"/>
    <x v="25"/>
    <x v="8"/>
    <x v="10"/>
    <x v="1"/>
    <x v="1"/>
    <x v="0"/>
    <x v="7"/>
    <x v="2"/>
    <x v="0"/>
    <x v="0"/>
    <x v="8"/>
  </r>
  <r>
    <x v="325"/>
    <x v="196"/>
    <x v="3"/>
    <x v="12"/>
    <x v="125"/>
    <x v="1"/>
    <x v="324"/>
    <x v="2"/>
    <x v="3"/>
    <x v="3"/>
    <x v="1"/>
    <x v="3"/>
    <x v="1"/>
    <x v="7"/>
    <x v="2"/>
    <x v="0"/>
    <x v="0"/>
    <x v="3"/>
  </r>
  <r>
    <x v="326"/>
    <x v="197"/>
    <x v="0"/>
    <x v="11"/>
    <x v="126"/>
    <x v="2"/>
    <x v="325"/>
    <x v="20"/>
    <x v="2"/>
    <x v="2"/>
    <x v="1"/>
    <x v="30"/>
    <x v="2"/>
    <x v="7"/>
    <x v="2"/>
    <x v="0"/>
    <x v="0"/>
    <x v="2"/>
  </r>
  <r>
    <x v="327"/>
    <x v="197"/>
    <x v="1"/>
    <x v="8"/>
    <x v="128"/>
    <x v="0"/>
    <x v="326"/>
    <x v="15"/>
    <x v="22"/>
    <x v="25"/>
    <x v="1"/>
    <x v="10"/>
    <x v="0"/>
    <x v="7"/>
    <x v="2"/>
    <x v="0"/>
    <x v="1"/>
    <x v="22"/>
  </r>
  <r>
    <x v="328"/>
    <x v="198"/>
    <x v="3"/>
    <x v="3"/>
    <x v="129"/>
    <x v="1"/>
    <x v="327"/>
    <x v="31"/>
    <x v="17"/>
    <x v="19"/>
    <x v="1"/>
    <x v="5"/>
    <x v="1"/>
    <x v="7"/>
    <x v="2"/>
    <x v="0"/>
    <x v="0"/>
    <x v="17"/>
  </r>
  <r>
    <x v="329"/>
    <x v="198"/>
    <x v="0"/>
    <x v="0"/>
    <x v="130"/>
    <x v="3"/>
    <x v="328"/>
    <x v="5"/>
    <x v="11"/>
    <x v="11"/>
    <x v="0"/>
    <x v="1"/>
    <x v="0"/>
    <x v="7"/>
    <x v="2"/>
    <x v="0"/>
    <x v="1"/>
    <x v="11"/>
  </r>
  <r>
    <x v="330"/>
    <x v="199"/>
    <x v="2"/>
    <x v="2"/>
    <x v="131"/>
    <x v="2"/>
    <x v="329"/>
    <x v="27"/>
    <x v="17"/>
    <x v="19"/>
    <x v="1"/>
    <x v="7"/>
    <x v="2"/>
    <x v="7"/>
    <x v="2"/>
    <x v="0"/>
    <x v="0"/>
    <x v="17"/>
  </r>
  <r>
    <x v="331"/>
    <x v="199"/>
    <x v="1"/>
    <x v="1"/>
    <x v="132"/>
    <x v="0"/>
    <x v="330"/>
    <x v="0"/>
    <x v="8"/>
    <x v="7"/>
    <x v="1"/>
    <x v="5"/>
    <x v="0"/>
    <x v="7"/>
    <x v="2"/>
    <x v="0"/>
    <x v="1"/>
    <x v="8"/>
  </r>
  <r>
    <x v="332"/>
    <x v="200"/>
    <x v="3"/>
    <x v="9"/>
    <x v="133"/>
    <x v="1"/>
    <x v="331"/>
    <x v="19"/>
    <x v="45"/>
    <x v="51"/>
    <x v="1"/>
    <x v="7"/>
    <x v="1"/>
    <x v="7"/>
    <x v="2"/>
    <x v="0"/>
    <x v="0"/>
    <x v="45"/>
  </r>
  <r>
    <x v="333"/>
    <x v="200"/>
    <x v="0"/>
    <x v="5"/>
    <x v="134"/>
    <x v="3"/>
    <x v="332"/>
    <x v="7"/>
    <x v="22"/>
    <x v="25"/>
    <x v="1"/>
    <x v="19"/>
    <x v="0"/>
    <x v="7"/>
    <x v="2"/>
    <x v="0"/>
    <x v="1"/>
    <x v="22"/>
  </r>
  <r>
    <x v="334"/>
    <x v="201"/>
    <x v="2"/>
    <x v="6"/>
    <x v="135"/>
    <x v="2"/>
    <x v="333"/>
    <x v="35"/>
    <x v="84"/>
    <x v="89"/>
    <x v="1"/>
    <x v="27"/>
    <x v="2"/>
    <x v="7"/>
    <x v="2"/>
    <x v="0"/>
    <x v="0"/>
    <x v="84"/>
  </r>
  <r>
    <x v="335"/>
    <x v="201"/>
    <x v="1"/>
    <x v="4"/>
    <x v="136"/>
    <x v="0"/>
    <x v="334"/>
    <x v="30"/>
    <x v="21"/>
    <x v="24"/>
    <x v="1"/>
    <x v="9"/>
    <x v="0"/>
    <x v="7"/>
    <x v="2"/>
    <x v="0"/>
    <x v="0"/>
    <x v="21"/>
  </r>
  <r>
    <x v="336"/>
    <x v="202"/>
    <x v="0"/>
    <x v="0"/>
    <x v="137"/>
    <x v="1"/>
    <x v="335"/>
    <x v="47"/>
    <x v="17"/>
    <x v="19"/>
    <x v="1"/>
    <x v="2"/>
    <x v="1"/>
    <x v="7"/>
    <x v="2"/>
    <x v="0"/>
    <x v="0"/>
    <x v="17"/>
  </r>
  <r>
    <x v="337"/>
    <x v="202"/>
    <x v="2"/>
    <x v="2"/>
    <x v="138"/>
    <x v="3"/>
    <x v="336"/>
    <x v="12"/>
    <x v="26"/>
    <x v="43"/>
    <x v="1"/>
    <x v="10"/>
    <x v="0"/>
    <x v="7"/>
    <x v="2"/>
    <x v="0"/>
    <x v="1"/>
    <x v="26"/>
  </r>
  <r>
    <x v="338"/>
    <x v="203"/>
    <x v="1"/>
    <x v="1"/>
    <x v="139"/>
    <x v="0"/>
    <x v="337"/>
    <x v="16"/>
    <x v="35"/>
    <x v="39"/>
    <x v="1"/>
    <x v="7"/>
    <x v="0"/>
    <x v="7"/>
    <x v="2"/>
    <x v="0"/>
    <x v="1"/>
    <x v="35"/>
  </r>
  <r>
    <x v="339"/>
    <x v="203"/>
    <x v="3"/>
    <x v="7"/>
    <x v="140"/>
    <x v="1"/>
    <x v="338"/>
    <x v="14"/>
    <x v="21"/>
    <x v="24"/>
    <x v="1"/>
    <x v="7"/>
    <x v="1"/>
    <x v="7"/>
    <x v="2"/>
    <x v="0"/>
    <x v="0"/>
    <x v="21"/>
  </r>
  <r>
    <x v="340"/>
    <x v="204"/>
    <x v="0"/>
    <x v="10"/>
    <x v="141"/>
    <x v="2"/>
    <x v="339"/>
    <x v="17"/>
    <x v="0"/>
    <x v="0"/>
    <x v="1"/>
    <x v="2"/>
    <x v="2"/>
    <x v="7"/>
    <x v="2"/>
    <x v="0"/>
    <x v="0"/>
    <x v="0"/>
  </r>
  <r>
    <x v="341"/>
    <x v="204"/>
    <x v="1"/>
    <x v="8"/>
    <x v="143"/>
    <x v="0"/>
    <x v="340"/>
    <x v="15"/>
    <x v="34"/>
    <x v="32"/>
    <x v="1"/>
    <x v="10"/>
    <x v="0"/>
    <x v="7"/>
    <x v="2"/>
    <x v="0"/>
    <x v="1"/>
    <x v="34"/>
  </r>
  <r>
    <x v="342"/>
    <x v="205"/>
    <x v="3"/>
    <x v="3"/>
    <x v="144"/>
    <x v="1"/>
    <x v="341"/>
    <x v="11"/>
    <x v="3"/>
    <x v="3"/>
    <x v="1"/>
    <x v="1"/>
    <x v="1"/>
    <x v="7"/>
    <x v="2"/>
    <x v="0"/>
    <x v="0"/>
    <x v="3"/>
  </r>
  <r>
    <x v="343"/>
    <x v="205"/>
    <x v="0"/>
    <x v="0"/>
    <x v="145"/>
    <x v="3"/>
    <x v="342"/>
    <x v="22"/>
    <x v="30"/>
    <x v="34"/>
    <x v="0"/>
    <x v="7"/>
    <x v="0"/>
    <x v="7"/>
    <x v="2"/>
    <x v="0"/>
    <x v="1"/>
    <x v="30"/>
  </r>
  <r>
    <x v="344"/>
    <x v="206"/>
    <x v="2"/>
    <x v="6"/>
    <x v="146"/>
    <x v="2"/>
    <x v="343"/>
    <x v="31"/>
    <x v="19"/>
    <x v="21"/>
    <x v="1"/>
    <x v="6"/>
    <x v="2"/>
    <x v="7"/>
    <x v="2"/>
    <x v="0"/>
    <x v="0"/>
    <x v="19"/>
  </r>
  <r>
    <x v="345"/>
    <x v="206"/>
    <x v="1"/>
    <x v="1"/>
    <x v="147"/>
    <x v="0"/>
    <x v="344"/>
    <x v="7"/>
    <x v="29"/>
    <x v="33"/>
    <x v="1"/>
    <x v="20"/>
    <x v="0"/>
    <x v="7"/>
    <x v="2"/>
    <x v="0"/>
    <x v="0"/>
    <x v="29"/>
  </r>
  <r>
    <x v="346"/>
    <x v="207"/>
    <x v="3"/>
    <x v="12"/>
    <x v="148"/>
    <x v="1"/>
    <x v="345"/>
    <x v="10"/>
    <x v="8"/>
    <x v="10"/>
    <x v="1"/>
    <x v="5"/>
    <x v="1"/>
    <x v="7"/>
    <x v="2"/>
    <x v="0"/>
    <x v="0"/>
    <x v="8"/>
  </r>
  <r>
    <x v="347"/>
    <x v="207"/>
    <x v="0"/>
    <x v="5"/>
    <x v="149"/>
    <x v="3"/>
    <x v="346"/>
    <x v="25"/>
    <x v="29"/>
    <x v="65"/>
    <x v="1"/>
    <x v="19"/>
    <x v="0"/>
    <x v="7"/>
    <x v="2"/>
    <x v="0"/>
    <x v="1"/>
    <x v="29"/>
  </r>
  <r>
    <x v="348"/>
    <x v="208"/>
    <x v="2"/>
    <x v="2"/>
    <x v="150"/>
    <x v="2"/>
    <x v="347"/>
    <x v="20"/>
    <x v="86"/>
    <x v="116"/>
    <x v="1"/>
    <x v="27"/>
    <x v="2"/>
    <x v="7"/>
    <x v="2"/>
    <x v="0"/>
    <x v="0"/>
    <x v="86"/>
  </r>
  <r>
    <x v="349"/>
    <x v="208"/>
    <x v="1"/>
    <x v="4"/>
    <x v="151"/>
    <x v="0"/>
    <x v="348"/>
    <x v="2"/>
    <x v="10"/>
    <x v="9"/>
    <x v="1"/>
    <x v="7"/>
    <x v="0"/>
    <x v="7"/>
    <x v="2"/>
    <x v="0"/>
    <x v="0"/>
    <x v="10"/>
  </r>
  <r>
    <x v="350"/>
    <x v="209"/>
    <x v="0"/>
    <x v="0"/>
    <x v="152"/>
    <x v="1"/>
    <x v="349"/>
    <x v="24"/>
    <x v="98"/>
    <x v="118"/>
    <x v="1"/>
    <x v="9"/>
    <x v="1"/>
    <x v="7"/>
    <x v="2"/>
    <x v="0"/>
    <x v="0"/>
    <x v="98"/>
  </r>
  <r>
    <x v="351"/>
    <x v="209"/>
    <x v="2"/>
    <x v="6"/>
    <x v="197"/>
    <x v="3"/>
    <x v="350"/>
    <x v="16"/>
    <x v="11"/>
    <x v="11"/>
    <x v="1"/>
    <x v="1"/>
    <x v="0"/>
    <x v="7"/>
    <x v="2"/>
    <x v="0"/>
    <x v="1"/>
    <x v="11"/>
  </r>
  <r>
    <x v="352"/>
    <x v="210"/>
    <x v="1"/>
    <x v="1"/>
    <x v="198"/>
    <x v="0"/>
    <x v="351"/>
    <x v="6"/>
    <x v="34"/>
    <x v="18"/>
    <x v="1"/>
    <x v="10"/>
    <x v="0"/>
    <x v="7"/>
    <x v="2"/>
    <x v="0"/>
    <x v="0"/>
    <x v="34"/>
  </r>
  <r>
    <x v="353"/>
    <x v="210"/>
    <x v="3"/>
    <x v="9"/>
    <x v="199"/>
    <x v="1"/>
    <x v="352"/>
    <x v="2"/>
    <x v="13"/>
    <x v="14"/>
    <x v="1"/>
    <x v="3"/>
    <x v="1"/>
    <x v="7"/>
    <x v="2"/>
    <x v="0"/>
    <x v="0"/>
    <x v="13"/>
  </r>
  <r>
    <x v="354"/>
    <x v="211"/>
    <x v="0"/>
    <x v="5"/>
    <x v="200"/>
    <x v="2"/>
    <x v="353"/>
    <x v="19"/>
    <x v="3"/>
    <x v="3"/>
    <x v="1"/>
    <x v="5"/>
    <x v="2"/>
    <x v="7"/>
    <x v="2"/>
    <x v="0"/>
    <x v="0"/>
    <x v="3"/>
  </r>
  <r>
    <x v="355"/>
    <x v="211"/>
    <x v="1"/>
    <x v="8"/>
    <x v="201"/>
    <x v="0"/>
    <x v="354"/>
    <x v="25"/>
    <x v="17"/>
    <x v="38"/>
    <x v="1"/>
    <x v="7"/>
    <x v="0"/>
    <x v="7"/>
    <x v="2"/>
    <x v="0"/>
    <x v="1"/>
    <x v="17"/>
  </r>
  <r>
    <x v="356"/>
    <x v="212"/>
    <x v="3"/>
    <x v="3"/>
    <x v="202"/>
    <x v="1"/>
    <x v="355"/>
    <x v="31"/>
    <x v="17"/>
    <x v="19"/>
    <x v="1"/>
    <x v="0"/>
    <x v="1"/>
    <x v="7"/>
    <x v="2"/>
    <x v="0"/>
    <x v="0"/>
    <x v="17"/>
  </r>
  <r>
    <x v="357"/>
    <x v="212"/>
    <x v="0"/>
    <x v="0"/>
    <x v="203"/>
    <x v="3"/>
    <x v="356"/>
    <x v="0"/>
    <x v="47"/>
    <x v="28"/>
    <x v="1"/>
    <x v="10"/>
    <x v="0"/>
    <x v="7"/>
    <x v="2"/>
    <x v="0"/>
    <x v="1"/>
    <x v="47"/>
  </r>
  <r>
    <x v="358"/>
    <x v="213"/>
    <x v="2"/>
    <x v="2"/>
    <x v="204"/>
    <x v="2"/>
    <x v="357"/>
    <x v="10"/>
    <x v="5"/>
    <x v="5"/>
    <x v="1"/>
    <x v="3"/>
    <x v="2"/>
    <x v="7"/>
    <x v="2"/>
    <x v="0"/>
    <x v="0"/>
    <x v="5"/>
  </r>
  <r>
    <x v="359"/>
    <x v="213"/>
    <x v="1"/>
    <x v="1"/>
    <x v="205"/>
    <x v="0"/>
    <x v="358"/>
    <x v="12"/>
    <x v="26"/>
    <x v="28"/>
    <x v="1"/>
    <x v="19"/>
    <x v="0"/>
    <x v="7"/>
    <x v="2"/>
    <x v="0"/>
    <x v="0"/>
    <x v="26"/>
  </r>
  <r>
    <x v="360"/>
    <x v="214"/>
    <x v="3"/>
    <x v="7"/>
    <x v="206"/>
    <x v="1"/>
    <x v="359"/>
    <x v="6"/>
    <x v="28"/>
    <x v="32"/>
    <x v="1"/>
    <x v="7"/>
    <x v="1"/>
    <x v="7"/>
    <x v="2"/>
    <x v="0"/>
    <x v="0"/>
    <x v="28"/>
  </r>
  <r>
    <x v="361"/>
    <x v="214"/>
    <x v="0"/>
    <x v="10"/>
    <x v="207"/>
    <x v="3"/>
    <x v="360"/>
    <x v="15"/>
    <x v="53"/>
    <x v="58"/>
    <x v="1"/>
    <x v="20"/>
    <x v="0"/>
    <x v="7"/>
    <x v="2"/>
    <x v="0"/>
    <x v="1"/>
    <x v="53"/>
  </r>
  <r>
    <x v="362"/>
    <x v="215"/>
    <x v="2"/>
    <x v="6"/>
    <x v="208"/>
    <x v="2"/>
    <x v="361"/>
    <x v="2"/>
    <x v="13"/>
    <x v="14"/>
    <x v="1"/>
    <x v="4"/>
    <x v="2"/>
    <x v="7"/>
    <x v="2"/>
    <x v="0"/>
    <x v="0"/>
    <x v="13"/>
  </r>
  <r>
    <x v="363"/>
    <x v="215"/>
    <x v="1"/>
    <x v="4"/>
    <x v="209"/>
    <x v="0"/>
    <x v="362"/>
    <x v="19"/>
    <x v="23"/>
    <x v="67"/>
    <x v="1"/>
    <x v="10"/>
    <x v="0"/>
    <x v="7"/>
    <x v="2"/>
    <x v="0"/>
    <x v="0"/>
    <x v="23"/>
  </r>
  <r>
    <x v="364"/>
    <x v="216"/>
    <x v="3"/>
    <x v="3"/>
    <x v="210"/>
    <x v="1"/>
    <x v="363"/>
    <x v="30"/>
    <x v="47"/>
    <x v="26"/>
    <x v="1"/>
    <x v="19"/>
    <x v="1"/>
    <x v="7"/>
    <x v="2"/>
    <x v="0"/>
    <x v="0"/>
    <x v="47"/>
  </r>
  <r>
    <x v="365"/>
    <x v="216"/>
    <x v="0"/>
    <x v="5"/>
    <x v="211"/>
    <x v="3"/>
    <x v="364"/>
    <x v="12"/>
    <x v="26"/>
    <x v="43"/>
    <x v="1"/>
    <x v="20"/>
    <x v="0"/>
    <x v="7"/>
    <x v="2"/>
    <x v="0"/>
    <x v="1"/>
    <x v="26"/>
  </r>
  <r>
    <x v="366"/>
    <x v="217"/>
    <x v="2"/>
    <x v="2"/>
    <x v="212"/>
    <x v="2"/>
    <x v="365"/>
    <x v="20"/>
    <x v="3"/>
    <x v="3"/>
    <x v="1"/>
    <x v="5"/>
    <x v="2"/>
    <x v="7"/>
    <x v="2"/>
    <x v="0"/>
    <x v="0"/>
    <x v="3"/>
  </r>
  <r>
    <x v="367"/>
    <x v="217"/>
    <x v="1"/>
    <x v="1"/>
    <x v="213"/>
    <x v="0"/>
    <x v="366"/>
    <x v="27"/>
    <x v="29"/>
    <x v="33"/>
    <x v="1"/>
    <x v="10"/>
    <x v="0"/>
    <x v="7"/>
    <x v="2"/>
    <x v="0"/>
    <x v="0"/>
    <x v="29"/>
  </r>
  <r>
    <x v="368"/>
    <x v="218"/>
    <x v="3"/>
    <x v="12"/>
    <x v="214"/>
    <x v="1"/>
    <x v="367"/>
    <x v="10"/>
    <x v="53"/>
    <x v="65"/>
    <x v="1"/>
    <x v="20"/>
    <x v="1"/>
    <x v="7"/>
    <x v="2"/>
    <x v="0"/>
    <x v="0"/>
    <x v="53"/>
  </r>
  <r>
    <x v="369"/>
    <x v="218"/>
    <x v="0"/>
    <x v="0"/>
    <x v="215"/>
    <x v="3"/>
    <x v="368"/>
    <x v="9"/>
    <x v="41"/>
    <x v="119"/>
    <x v="1"/>
    <x v="21"/>
    <x v="0"/>
    <x v="7"/>
    <x v="2"/>
    <x v="0"/>
    <x v="1"/>
    <x v="41"/>
  </r>
  <r>
    <x v="370"/>
    <x v="219"/>
    <x v="2"/>
    <x v="6"/>
    <x v="216"/>
    <x v="2"/>
    <x v="369"/>
    <x v="31"/>
    <x v="2"/>
    <x v="2"/>
    <x v="1"/>
    <x v="27"/>
    <x v="2"/>
    <x v="7"/>
    <x v="2"/>
    <x v="0"/>
    <x v="0"/>
    <x v="2"/>
  </r>
  <r>
    <x v="371"/>
    <x v="219"/>
    <x v="1"/>
    <x v="8"/>
    <x v="217"/>
    <x v="0"/>
    <x v="370"/>
    <x v="11"/>
    <x v="8"/>
    <x v="10"/>
    <x v="1"/>
    <x v="1"/>
    <x v="0"/>
    <x v="7"/>
    <x v="2"/>
    <x v="0"/>
    <x v="0"/>
    <x v="8"/>
  </r>
  <r>
    <x v="372"/>
    <x v="220"/>
    <x v="3"/>
    <x v="3"/>
    <x v="218"/>
    <x v="1"/>
    <x v="371"/>
    <x v="47"/>
    <x v="56"/>
    <x v="62"/>
    <x v="1"/>
    <x v="20"/>
    <x v="1"/>
    <x v="7"/>
    <x v="2"/>
    <x v="0"/>
    <x v="0"/>
    <x v="56"/>
  </r>
  <r>
    <x v="373"/>
    <x v="220"/>
    <x v="0"/>
    <x v="11"/>
    <x v="219"/>
    <x v="3"/>
    <x v="372"/>
    <x v="5"/>
    <x v="34"/>
    <x v="32"/>
    <x v="1"/>
    <x v="7"/>
    <x v="0"/>
    <x v="7"/>
    <x v="2"/>
    <x v="0"/>
    <x v="1"/>
    <x v="34"/>
  </r>
  <r>
    <x v="374"/>
    <x v="221"/>
    <x v="2"/>
    <x v="2"/>
    <x v="220"/>
    <x v="2"/>
    <x v="373"/>
    <x v="17"/>
    <x v="99"/>
    <x v="80"/>
    <x v="1"/>
    <x v="30"/>
    <x v="2"/>
    <x v="7"/>
    <x v="2"/>
    <x v="0"/>
    <x v="0"/>
    <x v="99"/>
  </r>
  <r>
    <x v="375"/>
    <x v="221"/>
    <x v="1"/>
    <x v="1"/>
    <x v="221"/>
    <x v="0"/>
    <x v="374"/>
    <x v="28"/>
    <x v="100"/>
    <x v="120"/>
    <x v="1"/>
    <x v="10"/>
    <x v="0"/>
    <x v="7"/>
    <x v="2"/>
    <x v="0"/>
    <x v="0"/>
    <x v="100"/>
  </r>
  <r>
    <x v="376"/>
    <x v="222"/>
    <x v="3"/>
    <x v="9"/>
    <x v="222"/>
    <x v="1"/>
    <x v="375"/>
    <x v="2"/>
    <x v="29"/>
    <x v="33"/>
    <x v="1"/>
    <x v="19"/>
    <x v="1"/>
    <x v="7"/>
    <x v="2"/>
    <x v="0"/>
    <x v="0"/>
    <x v="29"/>
  </r>
  <r>
    <x v="377"/>
    <x v="222"/>
    <x v="0"/>
    <x v="5"/>
    <x v="223"/>
    <x v="3"/>
    <x v="376"/>
    <x v="16"/>
    <x v="64"/>
    <x v="76"/>
    <x v="1"/>
    <x v="22"/>
    <x v="0"/>
    <x v="7"/>
    <x v="2"/>
    <x v="0"/>
    <x v="1"/>
    <x v="64"/>
  </r>
  <r>
    <x v="378"/>
    <x v="223"/>
    <x v="2"/>
    <x v="6"/>
    <x v="224"/>
    <x v="2"/>
    <x v="377"/>
    <x v="6"/>
    <x v="25"/>
    <x v="99"/>
    <x v="1"/>
    <x v="3"/>
    <x v="2"/>
    <x v="7"/>
    <x v="2"/>
    <x v="0"/>
    <x v="0"/>
    <x v="25"/>
  </r>
  <r>
    <x v="379"/>
    <x v="223"/>
    <x v="1"/>
    <x v="4"/>
    <x v="225"/>
    <x v="0"/>
    <x v="378"/>
    <x v="1"/>
    <x v="28"/>
    <x v="32"/>
    <x v="1"/>
    <x v="7"/>
    <x v="0"/>
    <x v="7"/>
    <x v="2"/>
    <x v="0"/>
    <x v="0"/>
    <x v="28"/>
  </r>
  <r>
    <x v="380"/>
    <x v="224"/>
    <x v="3"/>
    <x v="3"/>
    <x v="226"/>
    <x v="1"/>
    <x v="379"/>
    <x v="19"/>
    <x v="38"/>
    <x v="42"/>
    <x v="1"/>
    <x v="20"/>
    <x v="1"/>
    <x v="7"/>
    <x v="2"/>
    <x v="0"/>
    <x v="0"/>
    <x v="38"/>
  </r>
  <r>
    <x v="381"/>
    <x v="224"/>
    <x v="0"/>
    <x v="0"/>
    <x v="227"/>
    <x v="3"/>
    <x v="380"/>
    <x v="2"/>
    <x v="29"/>
    <x v="65"/>
    <x v="1"/>
    <x v="7"/>
    <x v="0"/>
    <x v="7"/>
    <x v="2"/>
    <x v="0"/>
    <x v="1"/>
    <x v="29"/>
  </r>
  <r>
    <x v="382"/>
    <x v="225"/>
    <x v="2"/>
    <x v="2"/>
    <x v="228"/>
    <x v="2"/>
    <x v="381"/>
    <x v="27"/>
    <x v="3"/>
    <x v="3"/>
    <x v="1"/>
    <x v="5"/>
    <x v="2"/>
    <x v="7"/>
    <x v="2"/>
    <x v="0"/>
    <x v="0"/>
    <x v="3"/>
  </r>
  <r>
    <x v="383"/>
    <x v="225"/>
    <x v="1"/>
    <x v="1"/>
    <x v="229"/>
    <x v="0"/>
    <x v="382"/>
    <x v="10"/>
    <x v="53"/>
    <x v="65"/>
    <x v="1"/>
    <x v="20"/>
    <x v="0"/>
    <x v="7"/>
    <x v="2"/>
    <x v="0"/>
    <x v="0"/>
    <x v="53"/>
  </r>
  <r>
    <x v="384"/>
    <x v="226"/>
    <x v="3"/>
    <x v="12"/>
    <x v="230"/>
    <x v="1"/>
    <x v="383"/>
    <x v="31"/>
    <x v="56"/>
    <x v="62"/>
    <x v="1"/>
    <x v="20"/>
    <x v="1"/>
    <x v="8"/>
    <x v="2"/>
    <x v="0"/>
    <x v="0"/>
    <x v="56"/>
  </r>
  <r>
    <x v="385"/>
    <x v="226"/>
    <x v="0"/>
    <x v="10"/>
    <x v="231"/>
    <x v="2"/>
    <x v="384"/>
    <x v="12"/>
    <x v="34"/>
    <x v="18"/>
    <x v="1"/>
    <x v="1"/>
    <x v="2"/>
    <x v="8"/>
    <x v="2"/>
    <x v="0"/>
    <x v="0"/>
    <x v="34"/>
  </r>
  <r>
    <x v="386"/>
    <x v="227"/>
    <x v="2"/>
    <x v="6"/>
    <x v="232"/>
    <x v="0"/>
    <x v="385"/>
    <x v="47"/>
    <x v="56"/>
    <x v="62"/>
    <x v="1"/>
    <x v="20"/>
    <x v="0"/>
    <x v="8"/>
    <x v="2"/>
    <x v="0"/>
    <x v="0"/>
    <x v="56"/>
  </r>
  <r>
    <x v="387"/>
    <x v="227"/>
    <x v="1"/>
    <x v="8"/>
    <x v="233"/>
    <x v="3"/>
    <x v="386"/>
    <x v="7"/>
    <x v="53"/>
    <x v="58"/>
    <x v="1"/>
    <x v="10"/>
    <x v="0"/>
    <x v="8"/>
    <x v="2"/>
    <x v="0"/>
    <x v="1"/>
    <x v="53"/>
  </r>
  <r>
    <x v="388"/>
    <x v="228"/>
    <x v="3"/>
    <x v="3"/>
    <x v="234"/>
    <x v="1"/>
    <x v="387"/>
    <x v="12"/>
    <x v="65"/>
    <x v="77"/>
    <x v="1"/>
    <x v="7"/>
    <x v="1"/>
    <x v="8"/>
    <x v="2"/>
    <x v="0"/>
    <x v="0"/>
    <x v="65"/>
  </r>
  <r>
    <x v="389"/>
    <x v="228"/>
    <x v="0"/>
    <x v="5"/>
    <x v="81"/>
    <x v="3"/>
    <x v="388"/>
    <x v="25"/>
    <x v="29"/>
    <x v="65"/>
    <x v="1"/>
    <x v="19"/>
    <x v="0"/>
    <x v="8"/>
    <x v="2"/>
    <x v="0"/>
    <x v="1"/>
    <x v="29"/>
  </r>
  <r>
    <x v="390"/>
    <x v="229"/>
    <x v="2"/>
    <x v="2"/>
    <x v="235"/>
    <x v="2"/>
    <x v="389"/>
    <x v="31"/>
    <x v="22"/>
    <x v="31"/>
    <x v="1"/>
    <x v="5"/>
    <x v="2"/>
    <x v="8"/>
    <x v="2"/>
    <x v="0"/>
    <x v="0"/>
    <x v="22"/>
  </r>
  <r>
    <x v="391"/>
    <x v="229"/>
    <x v="1"/>
    <x v="1"/>
    <x v="236"/>
    <x v="0"/>
    <x v="390"/>
    <x v="20"/>
    <x v="29"/>
    <x v="33"/>
    <x v="1"/>
    <x v="10"/>
    <x v="0"/>
    <x v="8"/>
    <x v="2"/>
    <x v="0"/>
    <x v="0"/>
    <x v="29"/>
  </r>
  <r>
    <x v="392"/>
    <x v="230"/>
    <x v="3"/>
    <x v="9"/>
    <x v="237"/>
    <x v="1"/>
    <x v="391"/>
    <x v="5"/>
    <x v="101"/>
    <x v="44"/>
    <x v="1"/>
    <x v="22"/>
    <x v="1"/>
    <x v="8"/>
    <x v="2"/>
    <x v="0"/>
    <x v="0"/>
    <x v="101"/>
  </r>
  <r>
    <x v="393"/>
    <x v="230"/>
    <x v="0"/>
    <x v="0"/>
    <x v="238"/>
    <x v="3"/>
    <x v="392"/>
    <x v="27"/>
    <x v="22"/>
    <x v="25"/>
    <x v="1"/>
    <x v="7"/>
    <x v="0"/>
    <x v="8"/>
    <x v="2"/>
    <x v="0"/>
    <x v="1"/>
    <x v="22"/>
  </r>
  <r>
    <x v="394"/>
    <x v="231"/>
    <x v="2"/>
    <x v="6"/>
    <x v="239"/>
    <x v="2"/>
    <x v="393"/>
    <x v="19"/>
    <x v="10"/>
    <x v="9"/>
    <x v="1"/>
    <x v="7"/>
    <x v="2"/>
    <x v="8"/>
    <x v="2"/>
    <x v="0"/>
    <x v="0"/>
    <x v="10"/>
  </r>
  <r>
    <x v="395"/>
    <x v="231"/>
    <x v="1"/>
    <x v="4"/>
    <x v="240"/>
    <x v="0"/>
    <x v="394"/>
    <x v="48"/>
    <x v="39"/>
    <x v="59"/>
    <x v="1"/>
    <x v="20"/>
    <x v="0"/>
    <x v="8"/>
    <x v="2"/>
    <x v="0"/>
    <x v="0"/>
    <x v="39"/>
  </r>
  <r>
    <x v="396"/>
    <x v="232"/>
    <x v="3"/>
    <x v="3"/>
    <x v="241"/>
    <x v="1"/>
    <x v="395"/>
    <x v="6"/>
    <x v="53"/>
    <x v="65"/>
    <x v="1"/>
    <x v="20"/>
    <x v="1"/>
    <x v="8"/>
    <x v="2"/>
    <x v="0"/>
    <x v="0"/>
    <x v="53"/>
  </r>
  <r>
    <x v="397"/>
    <x v="232"/>
    <x v="0"/>
    <x v="11"/>
    <x v="242"/>
    <x v="3"/>
    <x v="396"/>
    <x v="11"/>
    <x v="102"/>
    <x v="121"/>
    <x v="1"/>
    <x v="22"/>
    <x v="0"/>
    <x v="8"/>
    <x v="2"/>
    <x v="0"/>
    <x v="1"/>
    <x v="102"/>
  </r>
  <r>
    <x v="398"/>
    <x v="233"/>
    <x v="2"/>
    <x v="2"/>
    <x v="243"/>
    <x v="2"/>
    <x v="397"/>
    <x v="7"/>
    <x v="22"/>
    <x v="31"/>
    <x v="1"/>
    <x v="10"/>
    <x v="2"/>
    <x v="8"/>
    <x v="2"/>
    <x v="0"/>
    <x v="0"/>
    <x v="22"/>
  </r>
  <r>
    <x v="399"/>
    <x v="233"/>
    <x v="1"/>
    <x v="1"/>
    <x v="244"/>
    <x v="0"/>
    <x v="398"/>
    <x v="2"/>
    <x v="103"/>
    <x v="121"/>
    <x v="1"/>
    <x v="36"/>
    <x v="0"/>
    <x v="8"/>
    <x v="2"/>
    <x v="0"/>
    <x v="0"/>
    <x v="103"/>
  </r>
  <r>
    <x v="400"/>
    <x v="234"/>
    <x v="3"/>
    <x v="12"/>
    <x v="245"/>
    <x v="1"/>
    <x v="399"/>
    <x v="1"/>
    <x v="104"/>
    <x v="58"/>
    <x v="1"/>
    <x v="20"/>
    <x v="1"/>
    <x v="8"/>
    <x v="2"/>
    <x v="0"/>
    <x v="0"/>
    <x v="104"/>
  </r>
  <r>
    <x v="401"/>
    <x v="234"/>
    <x v="0"/>
    <x v="0"/>
    <x v="246"/>
    <x v="3"/>
    <x v="400"/>
    <x v="5"/>
    <x v="101"/>
    <x v="122"/>
    <x v="1"/>
    <x v="22"/>
    <x v="0"/>
    <x v="8"/>
    <x v="2"/>
    <x v="0"/>
    <x v="1"/>
    <x v="101"/>
  </r>
  <r>
    <x v="402"/>
    <x v="235"/>
    <x v="2"/>
    <x v="6"/>
    <x v="247"/>
    <x v="2"/>
    <x v="401"/>
    <x v="12"/>
    <x v="34"/>
    <x v="18"/>
    <x v="1"/>
    <x v="7"/>
    <x v="2"/>
    <x v="8"/>
    <x v="2"/>
    <x v="0"/>
    <x v="0"/>
    <x v="34"/>
  </r>
  <r>
    <x v="403"/>
    <x v="235"/>
    <x v="1"/>
    <x v="8"/>
    <x v="248"/>
    <x v="0"/>
    <x v="402"/>
    <x v="9"/>
    <x v="41"/>
    <x v="46"/>
    <x v="1"/>
    <x v="20"/>
    <x v="0"/>
    <x v="8"/>
    <x v="2"/>
    <x v="0"/>
    <x v="0"/>
    <x v="41"/>
  </r>
  <r>
    <x v="404"/>
    <x v="236"/>
    <x v="3"/>
    <x v="3"/>
    <x v="249"/>
    <x v="1"/>
    <x v="403"/>
    <x v="2"/>
    <x v="29"/>
    <x v="33"/>
    <x v="1"/>
    <x v="10"/>
    <x v="1"/>
    <x v="8"/>
    <x v="2"/>
    <x v="0"/>
    <x v="0"/>
    <x v="29"/>
  </r>
  <r>
    <x v="405"/>
    <x v="236"/>
    <x v="0"/>
    <x v="5"/>
    <x v="250"/>
    <x v="3"/>
    <x v="404"/>
    <x v="7"/>
    <x v="56"/>
    <x v="69"/>
    <x v="1"/>
    <x v="21"/>
    <x v="0"/>
    <x v="8"/>
    <x v="2"/>
    <x v="0"/>
    <x v="1"/>
    <x v="56"/>
  </r>
  <r>
    <x v="406"/>
    <x v="237"/>
    <x v="2"/>
    <x v="2"/>
    <x v="251"/>
    <x v="2"/>
    <x v="405"/>
    <x v="25"/>
    <x v="39"/>
    <x v="59"/>
    <x v="1"/>
    <x v="22"/>
    <x v="2"/>
    <x v="8"/>
    <x v="2"/>
    <x v="0"/>
    <x v="0"/>
    <x v="39"/>
  </r>
  <r>
    <x v="407"/>
    <x v="237"/>
    <x v="1"/>
    <x v="1"/>
    <x v="252"/>
    <x v="0"/>
    <x v="104"/>
    <x v="47"/>
    <x v="17"/>
    <x v="19"/>
    <x v="1"/>
    <x v="5"/>
    <x v="0"/>
    <x v="8"/>
    <x v="2"/>
    <x v="0"/>
    <x v="0"/>
    <x v="17"/>
  </r>
  <r>
    <x v="408"/>
    <x v="238"/>
    <x v="3"/>
    <x v="9"/>
    <x v="253"/>
    <x v="1"/>
    <x v="406"/>
    <x v="19"/>
    <x v="102"/>
    <x v="123"/>
    <x v="1"/>
    <x v="36"/>
    <x v="1"/>
    <x v="8"/>
    <x v="2"/>
    <x v="0"/>
    <x v="0"/>
    <x v="102"/>
  </r>
  <r>
    <x v="409"/>
    <x v="238"/>
    <x v="0"/>
    <x v="0"/>
    <x v="254"/>
    <x v="3"/>
    <x v="407"/>
    <x v="12"/>
    <x v="39"/>
    <x v="44"/>
    <x v="1"/>
    <x v="21"/>
    <x v="0"/>
    <x v="8"/>
    <x v="2"/>
    <x v="0"/>
    <x v="1"/>
    <x v="39"/>
  </r>
  <r>
    <x v="410"/>
    <x v="239"/>
    <x v="2"/>
    <x v="6"/>
    <x v="255"/>
    <x v="2"/>
    <x v="408"/>
    <x v="5"/>
    <x v="26"/>
    <x v="28"/>
    <x v="1"/>
    <x v="20"/>
    <x v="2"/>
    <x v="8"/>
    <x v="2"/>
    <x v="0"/>
    <x v="0"/>
    <x v="26"/>
  </r>
  <r>
    <x v="411"/>
    <x v="239"/>
    <x v="1"/>
    <x v="4"/>
    <x v="256"/>
    <x v="0"/>
    <x v="409"/>
    <x v="15"/>
    <x v="53"/>
    <x v="58"/>
    <x v="1"/>
    <x v="22"/>
    <x v="0"/>
    <x v="8"/>
    <x v="2"/>
    <x v="0"/>
    <x v="1"/>
    <x v="53"/>
  </r>
  <r>
    <x v="412"/>
    <x v="240"/>
    <x v="3"/>
    <x v="3"/>
    <x v="257"/>
    <x v="1"/>
    <x v="410"/>
    <x v="30"/>
    <x v="39"/>
    <x v="59"/>
    <x v="1"/>
    <x v="21"/>
    <x v="1"/>
    <x v="8"/>
    <x v="2"/>
    <x v="0"/>
    <x v="0"/>
    <x v="39"/>
  </r>
  <r>
    <x v="413"/>
    <x v="240"/>
    <x v="0"/>
    <x v="10"/>
    <x v="258"/>
    <x v="3"/>
    <x v="411"/>
    <x v="19"/>
    <x v="102"/>
    <x v="121"/>
    <x v="1"/>
    <x v="22"/>
    <x v="0"/>
    <x v="8"/>
    <x v="2"/>
    <x v="0"/>
    <x v="1"/>
    <x v="102"/>
  </r>
  <r>
    <x v="414"/>
    <x v="241"/>
    <x v="2"/>
    <x v="2"/>
    <x v="259"/>
    <x v="2"/>
    <x v="412"/>
    <x v="9"/>
    <x v="29"/>
    <x v="33"/>
    <x v="1"/>
    <x v="20"/>
    <x v="2"/>
    <x v="8"/>
    <x v="2"/>
    <x v="0"/>
    <x v="0"/>
    <x v="29"/>
  </r>
  <r>
    <x v="415"/>
    <x v="241"/>
    <x v="1"/>
    <x v="1"/>
    <x v="260"/>
    <x v="0"/>
    <x v="413"/>
    <x v="6"/>
    <x v="28"/>
    <x v="32"/>
    <x v="1"/>
    <x v="10"/>
    <x v="0"/>
    <x v="8"/>
    <x v="2"/>
    <x v="0"/>
    <x v="0"/>
    <x v="28"/>
  </r>
  <r>
    <x v="416"/>
    <x v="242"/>
    <x v="3"/>
    <x v="12"/>
    <x v="261"/>
    <x v="1"/>
    <x v="414"/>
    <x v="31"/>
    <x v="105"/>
    <x v="124"/>
    <x v="1"/>
    <x v="36"/>
    <x v="1"/>
    <x v="8"/>
    <x v="2"/>
    <x v="0"/>
    <x v="0"/>
    <x v="105"/>
  </r>
  <r>
    <x v="417"/>
    <x v="242"/>
    <x v="0"/>
    <x v="5"/>
    <x v="262"/>
    <x v="3"/>
    <x v="415"/>
    <x v="27"/>
    <x v="105"/>
    <x v="125"/>
    <x v="1"/>
    <x v="36"/>
    <x v="0"/>
    <x v="8"/>
    <x v="2"/>
    <x v="0"/>
    <x v="1"/>
    <x v="105"/>
  </r>
  <r>
    <x v="418"/>
    <x v="243"/>
    <x v="2"/>
    <x v="6"/>
    <x v="263"/>
    <x v="2"/>
    <x v="416"/>
    <x v="16"/>
    <x v="101"/>
    <x v="44"/>
    <x v="1"/>
    <x v="36"/>
    <x v="2"/>
    <x v="8"/>
    <x v="2"/>
    <x v="0"/>
    <x v="0"/>
    <x v="101"/>
  </r>
  <r>
    <x v="419"/>
    <x v="243"/>
    <x v="1"/>
    <x v="8"/>
    <x v="264"/>
    <x v="0"/>
    <x v="417"/>
    <x v="19"/>
    <x v="47"/>
    <x v="26"/>
    <x v="1"/>
    <x v="10"/>
    <x v="0"/>
    <x v="8"/>
    <x v="2"/>
    <x v="0"/>
    <x v="0"/>
    <x v="47"/>
  </r>
  <r>
    <x v="420"/>
    <x v="244"/>
    <x v="3"/>
    <x v="3"/>
    <x v="265"/>
    <x v="1"/>
    <x v="418"/>
    <x v="28"/>
    <x v="63"/>
    <x v="75"/>
    <x v="1"/>
    <x v="20"/>
    <x v="1"/>
    <x v="8"/>
    <x v="2"/>
    <x v="0"/>
    <x v="0"/>
    <x v="63"/>
  </r>
  <r>
    <x v="421"/>
    <x v="244"/>
    <x v="0"/>
    <x v="0"/>
    <x v="266"/>
    <x v="3"/>
    <x v="419"/>
    <x v="22"/>
    <x v="106"/>
    <x v="126"/>
    <x v="1"/>
    <x v="36"/>
    <x v="0"/>
    <x v="8"/>
    <x v="2"/>
    <x v="0"/>
    <x v="1"/>
    <x v="106"/>
  </r>
  <r>
    <x v="422"/>
    <x v="245"/>
    <x v="2"/>
    <x v="2"/>
    <x v="267"/>
    <x v="2"/>
    <x v="420"/>
    <x v="27"/>
    <x v="53"/>
    <x v="65"/>
    <x v="1"/>
    <x v="20"/>
    <x v="2"/>
    <x v="8"/>
    <x v="2"/>
    <x v="0"/>
    <x v="0"/>
    <x v="53"/>
  </r>
  <r>
    <x v="423"/>
    <x v="245"/>
    <x v="1"/>
    <x v="1"/>
    <x v="268"/>
    <x v="0"/>
    <x v="421"/>
    <x v="31"/>
    <x v="56"/>
    <x v="62"/>
    <x v="1"/>
    <x v="21"/>
    <x v="0"/>
    <x v="8"/>
    <x v="2"/>
    <x v="0"/>
    <x v="0"/>
    <x v="56"/>
  </r>
  <r>
    <x v="424"/>
    <x v="246"/>
    <x v="3"/>
    <x v="9"/>
    <x v="234"/>
    <x v="1"/>
    <x v="422"/>
    <x v="9"/>
    <x v="35"/>
    <x v="38"/>
    <x v="1"/>
    <x v="7"/>
    <x v="1"/>
    <x v="8"/>
    <x v="2"/>
    <x v="0"/>
    <x v="0"/>
    <x v="35"/>
  </r>
  <r>
    <x v="425"/>
    <x v="246"/>
    <x v="0"/>
    <x v="11"/>
    <x v="269"/>
    <x v="3"/>
    <x v="423"/>
    <x v="11"/>
    <x v="39"/>
    <x v="44"/>
    <x v="1"/>
    <x v="21"/>
    <x v="0"/>
    <x v="8"/>
    <x v="2"/>
    <x v="0"/>
    <x v="1"/>
    <x v="39"/>
  </r>
  <r>
    <x v="426"/>
    <x v="247"/>
    <x v="2"/>
    <x v="6"/>
    <x v="270"/>
    <x v="2"/>
    <x v="424"/>
    <x v="2"/>
    <x v="56"/>
    <x v="62"/>
    <x v="1"/>
    <x v="20"/>
    <x v="2"/>
    <x v="8"/>
    <x v="2"/>
    <x v="0"/>
    <x v="0"/>
    <x v="56"/>
  </r>
  <r>
    <x v="427"/>
    <x v="247"/>
    <x v="1"/>
    <x v="4"/>
    <x v="136"/>
    <x v="0"/>
    <x v="123"/>
    <x v="10"/>
    <x v="101"/>
    <x v="44"/>
    <x v="1"/>
    <x v="22"/>
    <x v="0"/>
    <x v="8"/>
    <x v="2"/>
    <x v="0"/>
    <x v="0"/>
    <x v="101"/>
  </r>
  <r>
    <x v="428"/>
    <x v="248"/>
    <x v="3"/>
    <x v="3"/>
    <x v="271"/>
    <x v="1"/>
    <x v="425"/>
    <x v="6"/>
    <x v="64"/>
    <x v="69"/>
    <x v="1"/>
    <x v="22"/>
    <x v="1"/>
    <x v="8"/>
    <x v="2"/>
    <x v="0"/>
    <x v="0"/>
    <x v="64"/>
  </r>
  <r>
    <x v="429"/>
    <x v="248"/>
    <x v="0"/>
    <x v="5"/>
    <x v="272"/>
    <x v="3"/>
    <x v="426"/>
    <x v="19"/>
    <x v="102"/>
    <x v="121"/>
    <x v="1"/>
    <x v="36"/>
    <x v="0"/>
    <x v="8"/>
    <x v="2"/>
    <x v="0"/>
    <x v="1"/>
    <x v="102"/>
  </r>
  <r>
    <x v="430"/>
    <x v="249"/>
    <x v="2"/>
    <x v="2"/>
    <x v="273"/>
    <x v="2"/>
    <x v="427"/>
    <x v="7"/>
    <x v="105"/>
    <x v="124"/>
    <x v="1"/>
    <x v="36"/>
    <x v="2"/>
    <x v="8"/>
    <x v="2"/>
    <x v="0"/>
    <x v="0"/>
    <x v="105"/>
  </r>
  <r>
    <x v="431"/>
    <x v="249"/>
    <x v="1"/>
    <x v="1"/>
    <x v="274"/>
    <x v="0"/>
    <x v="428"/>
    <x v="30"/>
    <x v="47"/>
    <x v="26"/>
    <x v="1"/>
    <x v="10"/>
    <x v="0"/>
    <x v="8"/>
    <x v="2"/>
    <x v="0"/>
    <x v="0"/>
    <x v="47"/>
  </r>
  <r>
    <x v="432"/>
    <x v="250"/>
    <x v="3"/>
    <x v="12"/>
    <x v="275"/>
    <x v="1"/>
    <x v="429"/>
    <x v="5"/>
    <x v="100"/>
    <x v="120"/>
    <x v="1"/>
    <x v="19"/>
    <x v="1"/>
    <x v="8"/>
    <x v="2"/>
    <x v="0"/>
    <x v="0"/>
    <x v="100"/>
  </r>
  <r>
    <x v="433"/>
    <x v="250"/>
    <x v="0"/>
    <x v="0"/>
    <x v="276"/>
    <x v="3"/>
    <x v="430"/>
    <x v="19"/>
    <x v="10"/>
    <x v="18"/>
    <x v="1"/>
    <x v="1"/>
    <x v="0"/>
    <x v="8"/>
    <x v="2"/>
    <x v="0"/>
    <x v="1"/>
    <x v="10"/>
  </r>
  <r>
    <x v="434"/>
    <x v="251"/>
    <x v="2"/>
    <x v="6"/>
    <x v="277"/>
    <x v="2"/>
    <x v="431"/>
    <x v="15"/>
    <x v="22"/>
    <x v="31"/>
    <x v="1"/>
    <x v="20"/>
    <x v="2"/>
    <x v="8"/>
    <x v="2"/>
    <x v="0"/>
    <x v="0"/>
    <x v="22"/>
  </r>
  <r>
    <x v="435"/>
    <x v="251"/>
    <x v="1"/>
    <x v="8"/>
    <x v="278"/>
    <x v="0"/>
    <x v="432"/>
    <x v="2"/>
    <x v="29"/>
    <x v="33"/>
    <x v="1"/>
    <x v="10"/>
    <x v="0"/>
    <x v="8"/>
    <x v="2"/>
    <x v="0"/>
    <x v="0"/>
    <x v="29"/>
  </r>
  <r>
    <x v="436"/>
    <x v="252"/>
    <x v="3"/>
    <x v="3"/>
    <x v="279"/>
    <x v="1"/>
    <x v="433"/>
    <x v="14"/>
    <x v="101"/>
    <x v="44"/>
    <x v="1"/>
    <x v="22"/>
    <x v="1"/>
    <x v="8"/>
    <x v="2"/>
    <x v="0"/>
    <x v="0"/>
    <x v="101"/>
  </r>
  <r>
    <x v="437"/>
    <x v="252"/>
    <x v="0"/>
    <x v="10"/>
    <x v="280"/>
    <x v="3"/>
    <x v="434"/>
    <x v="9"/>
    <x v="64"/>
    <x v="76"/>
    <x v="1"/>
    <x v="36"/>
    <x v="0"/>
    <x v="8"/>
    <x v="2"/>
    <x v="0"/>
    <x v="1"/>
    <x v="64"/>
  </r>
  <r>
    <x v="438"/>
    <x v="253"/>
    <x v="2"/>
    <x v="2"/>
    <x v="281"/>
    <x v="2"/>
    <x v="435"/>
    <x v="4"/>
    <x v="105"/>
    <x v="124"/>
    <x v="1"/>
    <x v="37"/>
    <x v="2"/>
    <x v="8"/>
    <x v="2"/>
    <x v="0"/>
    <x v="0"/>
    <x v="105"/>
  </r>
  <r>
    <x v="439"/>
    <x v="253"/>
    <x v="1"/>
    <x v="1"/>
    <x v="282"/>
    <x v="0"/>
    <x v="436"/>
    <x v="20"/>
    <x v="39"/>
    <x v="59"/>
    <x v="1"/>
    <x v="20"/>
    <x v="0"/>
    <x v="8"/>
    <x v="2"/>
    <x v="0"/>
    <x v="0"/>
    <x v="39"/>
  </r>
  <r>
    <x v="440"/>
    <x v="254"/>
    <x v="3"/>
    <x v="9"/>
    <x v="234"/>
    <x v="1"/>
    <x v="437"/>
    <x v="10"/>
    <x v="53"/>
    <x v="65"/>
    <x v="1"/>
    <x v="19"/>
    <x v="1"/>
    <x v="8"/>
    <x v="2"/>
    <x v="0"/>
    <x v="0"/>
    <x v="53"/>
  </r>
  <r>
    <x v="441"/>
    <x v="254"/>
    <x v="0"/>
    <x v="5"/>
    <x v="283"/>
    <x v="3"/>
    <x v="438"/>
    <x v="27"/>
    <x v="29"/>
    <x v="65"/>
    <x v="1"/>
    <x v="10"/>
    <x v="0"/>
    <x v="8"/>
    <x v="2"/>
    <x v="0"/>
    <x v="1"/>
    <x v="29"/>
  </r>
  <r>
    <x v="442"/>
    <x v="255"/>
    <x v="2"/>
    <x v="6"/>
    <x v="284"/>
    <x v="2"/>
    <x v="439"/>
    <x v="2"/>
    <x v="10"/>
    <x v="9"/>
    <x v="1"/>
    <x v="7"/>
    <x v="2"/>
    <x v="8"/>
    <x v="2"/>
    <x v="0"/>
    <x v="0"/>
    <x v="10"/>
  </r>
  <r>
    <x v="443"/>
    <x v="255"/>
    <x v="1"/>
    <x v="4"/>
    <x v="285"/>
    <x v="0"/>
    <x v="440"/>
    <x v="6"/>
    <x v="28"/>
    <x v="32"/>
    <x v="1"/>
    <x v="10"/>
    <x v="0"/>
    <x v="8"/>
    <x v="2"/>
    <x v="0"/>
    <x v="0"/>
    <x v="28"/>
  </r>
  <r>
    <x v="444"/>
    <x v="256"/>
    <x v="3"/>
    <x v="3"/>
    <x v="286"/>
    <x v="1"/>
    <x v="441"/>
    <x v="20"/>
    <x v="29"/>
    <x v="33"/>
    <x v="1"/>
    <x v="7"/>
    <x v="1"/>
    <x v="9"/>
    <x v="3"/>
    <x v="0"/>
    <x v="0"/>
    <x v="29"/>
  </r>
  <r>
    <x v="445"/>
    <x v="256"/>
    <x v="0"/>
    <x v="0"/>
    <x v="287"/>
    <x v="3"/>
    <x v="442"/>
    <x v="5"/>
    <x v="53"/>
    <x v="58"/>
    <x v="1"/>
    <x v="20"/>
    <x v="0"/>
    <x v="9"/>
    <x v="3"/>
    <x v="0"/>
    <x v="1"/>
    <x v="53"/>
  </r>
  <r>
    <x v="446"/>
    <x v="257"/>
    <x v="2"/>
    <x v="2"/>
    <x v="288"/>
    <x v="2"/>
    <x v="443"/>
    <x v="48"/>
    <x v="70"/>
    <x v="82"/>
    <x v="1"/>
    <x v="6"/>
    <x v="2"/>
    <x v="9"/>
    <x v="3"/>
    <x v="0"/>
    <x v="0"/>
    <x v="70"/>
  </r>
  <r>
    <x v="447"/>
    <x v="257"/>
    <x v="1"/>
    <x v="1"/>
    <x v="289"/>
    <x v="0"/>
    <x v="444"/>
    <x v="0"/>
    <x v="8"/>
    <x v="7"/>
    <x v="1"/>
    <x v="1"/>
    <x v="0"/>
    <x v="9"/>
    <x v="3"/>
    <x v="0"/>
    <x v="1"/>
    <x v="8"/>
  </r>
  <r>
    <x v="448"/>
    <x v="258"/>
    <x v="3"/>
    <x v="12"/>
    <x v="290"/>
    <x v="1"/>
    <x v="445"/>
    <x v="19"/>
    <x v="10"/>
    <x v="9"/>
    <x v="1"/>
    <x v="9"/>
    <x v="1"/>
    <x v="9"/>
    <x v="3"/>
    <x v="0"/>
    <x v="0"/>
    <x v="10"/>
  </r>
  <r>
    <x v="449"/>
    <x v="258"/>
    <x v="0"/>
    <x v="11"/>
    <x v="291"/>
    <x v="3"/>
    <x v="446"/>
    <x v="16"/>
    <x v="35"/>
    <x v="39"/>
    <x v="1"/>
    <x v="7"/>
    <x v="0"/>
    <x v="9"/>
    <x v="3"/>
    <x v="0"/>
    <x v="1"/>
    <x v="35"/>
  </r>
  <r>
    <x v="450"/>
    <x v="259"/>
    <x v="2"/>
    <x v="6"/>
    <x v="292"/>
    <x v="2"/>
    <x v="447"/>
    <x v="18"/>
    <x v="11"/>
    <x v="11"/>
    <x v="1"/>
    <x v="1"/>
    <x v="2"/>
    <x v="9"/>
    <x v="3"/>
    <x v="0"/>
    <x v="1"/>
    <x v="11"/>
  </r>
  <r>
    <x v="451"/>
    <x v="259"/>
    <x v="1"/>
    <x v="8"/>
    <x v="293"/>
    <x v="0"/>
    <x v="448"/>
    <x v="19"/>
    <x v="23"/>
    <x v="67"/>
    <x v="1"/>
    <x v="7"/>
    <x v="0"/>
    <x v="9"/>
    <x v="3"/>
    <x v="0"/>
    <x v="0"/>
    <x v="23"/>
  </r>
  <r>
    <x v="452"/>
    <x v="260"/>
    <x v="3"/>
    <x v="3"/>
    <x v="294"/>
    <x v="1"/>
    <x v="449"/>
    <x v="6"/>
    <x v="64"/>
    <x v="69"/>
    <x v="1"/>
    <x v="22"/>
    <x v="1"/>
    <x v="9"/>
    <x v="3"/>
    <x v="0"/>
    <x v="0"/>
    <x v="64"/>
  </r>
  <r>
    <x v="453"/>
    <x v="260"/>
    <x v="0"/>
    <x v="5"/>
    <x v="295"/>
    <x v="3"/>
    <x v="450"/>
    <x v="25"/>
    <x v="29"/>
    <x v="65"/>
    <x v="1"/>
    <x v="10"/>
    <x v="0"/>
    <x v="9"/>
    <x v="3"/>
    <x v="0"/>
    <x v="1"/>
    <x v="29"/>
  </r>
  <r>
    <x v="454"/>
    <x v="261"/>
    <x v="2"/>
    <x v="2"/>
    <x v="296"/>
    <x v="2"/>
    <x v="451"/>
    <x v="26"/>
    <x v="34"/>
    <x v="32"/>
    <x v="1"/>
    <x v="7"/>
    <x v="2"/>
    <x v="9"/>
    <x v="3"/>
    <x v="0"/>
    <x v="1"/>
    <x v="34"/>
  </r>
  <r>
    <x v="455"/>
    <x v="261"/>
    <x v="1"/>
    <x v="1"/>
    <x v="297"/>
    <x v="0"/>
    <x v="452"/>
    <x v="24"/>
    <x v="26"/>
    <x v="28"/>
    <x v="1"/>
    <x v="19"/>
    <x v="0"/>
    <x v="9"/>
    <x v="3"/>
    <x v="0"/>
    <x v="0"/>
    <x v="26"/>
  </r>
  <r>
    <x v="456"/>
    <x v="262"/>
    <x v="3"/>
    <x v="9"/>
    <x v="298"/>
    <x v="1"/>
    <x v="453"/>
    <x v="11"/>
    <x v="102"/>
    <x v="123"/>
    <x v="1"/>
    <x v="36"/>
    <x v="1"/>
    <x v="9"/>
    <x v="3"/>
    <x v="0"/>
    <x v="0"/>
    <x v="102"/>
  </r>
  <r>
    <x v="457"/>
    <x v="262"/>
    <x v="0"/>
    <x v="0"/>
    <x v="299"/>
    <x v="3"/>
    <x v="454"/>
    <x v="30"/>
    <x v="103"/>
    <x v="127"/>
    <x v="1"/>
    <x v="36"/>
    <x v="0"/>
    <x v="9"/>
    <x v="3"/>
    <x v="0"/>
    <x v="1"/>
    <x v="103"/>
  </r>
  <r>
    <x v="458"/>
    <x v="263"/>
    <x v="2"/>
    <x v="6"/>
    <x v="300"/>
    <x v="2"/>
    <x v="455"/>
    <x v="7"/>
    <x v="22"/>
    <x v="31"/>
    <x v="1"/>
    <x v="10"/>
    <x v="2"/>
    <x v="9"/>
    <x v="3"/>
    <x v="0"/>
    <x v="0"/>
    <x v="22"/>
  </r>
  <r>
    <x v="459"/>
    <x v="263"/>
    <x v="1"/>
    <x v="4"/>
    <x v="301"/>
    <x v="0"/>
    <x v="456"/>
    <x v="12"/>
    <x v="26"/>
    <x v="28"/>
    <x v="1"/>
    <x v="19"/>
    <x v="0"/>
    <x v="9"/>
    <x v="3"/>
    <x v="0"/>
    <x v="0"/>
    <x v="26"/>
  </r>
  <r>
    <x v="460"/>
    <x v="264"/>
    <x v="3"/>
    <x v="3"/>
    <x v="302"/>
    <x v="1"/>
    <x v="457"/>
    <x v="25"/>
    <x v="34"/>
    <x v="18"/>
    <x v="1"/>
    <x v="7"/>
    <x v="1"/>
    <x v="9"/>
    <x v="3"/>
    <x v="0"/>
    <x v="0"/>
    <x v="34"/>
  </r>
  <r>
    <x v="461"/>
    <x v="264"/>
    <x v="0"/>
    <x v="10"/>
    <x v="303"/>
    <x v="3"/>
    <x v="458"/>
    <x v="9"/>
    <x v="41"/>
    <x v="119"/>
    <x v="1"/>
    <x v="21"/>
    <x v="0"/>
    <x v="9"/>
    <x v="3"/>
    <x v="0"/>
    <x v="1"/>
    <x v="41"/>
  </r>
  <r>
    <x v="462"/>
    <x v="265"/>
    <x v="2"/>
    <x v="2"/>
    <x v="304"/>
    <x v="2"/>
    <x v="459"/>
    <x v="8"/>
    <x v="29"/>
    <x v="65"/>
    <x v="1"/>
    <x v="10"/>
    <x v="2"/>
    <x v="9"/>
    <x v="3"/>
    <x v="0"/>
    <x v="1"/>
    <x v="29"/>
  </r>
  <r>
    <x v="463"/>
    <x v="265"/>
    <x v="1"/>
    <x v="1"/>
    <x v="305"/>
    <x v="0"/>
    <x v="460"/>
    <x v="2"/>
    <x v="10"/>
    <x v="9"/>
    <x v="1"/>
    <x v="9"/>
    <x v="0"/>
    <x v="9"/>
    <x v="3"/>
    <x v="0"/>
    <x v="0"/>
    <x v="10"/>
  </r>
  <r>
    <x v="464"/>
    <x v="266"/>
    <x v="3"/>
    <x v="12"/>
    <x v="306"/>
    <x v="1"/>
    <x v="461"/>
    <x v="27"/>
    <x v="29"/>
    <x v="33"/>
    <x v="1"/>
    <x v="19"/>
    <x v="1"/>
    <x v="9"/>
    <x v="3"/>
    <x v="0"/>
    <x v="0"/>
    <x v="29"/>
  </r>
  <r>
    <x v="465"/>
    <x v="266"/>
    <x v="0"/>
    <x v="5"/>
    <x v="203"/>
    <x v="3"/>
    <x v="462"/>
    <x v="6"/>
    <x v="64"/>
    <x v="76"/>
    <x v="1"/>
    <x v="22"/>
    <x v="0"/>
    <x v="9"/>
    <x v="3"/>
    <x v="0"/>
    <x v="1"/>
    <x v="64"/>
  </r>
  <r>
    <x v="466"/>
    <x v="267"/>
    <x v="2"/>
    <x v="6"/>
    <x v="307"/>
    <x v="2"/>
    <x v="463"/>
    <x v="3"/>
    <x v="38"/>
    <x v="59"/>
    <x v="1"/>
    <x v="20"/>
    <x v="2"/>
    <x v="9"/>
    <x v="3"/>
    <x v="0"/>
    <x v="1"/>
    <x v="38"/>
  </r>
  <r>
    <x v="467"/>
    <x v="267"/>
    <x v="1"/>
    <x v="8"/>
    <x v="308"/>
    <x v="0"/>
    <x v="464"/>
    <x v="28"/>
    <x v="63"/>
    <x v="75"/>
    <x v="1"/>
    <x v="21"/>
    <x v="0"/>
    <x v="9"/>
    <x v="3"/>
    <x v="0"/>
    <x v="0"/>
    <x v="63"/>
  </r>
  <r>
    <x v="468"/>
    <x v="268"/>
    <x v="3"/>
    <x v="3"/>
    <x v="309"/>
    <x v="1"/>
    <x v="465"/>
    <x v="24"/>
    <x v="107"/>
    <x v="43"/>
    <x v="1"/>
    <x v="20"/>
    <x v="1"/>
    <x v="9"/>
    <x v="3"/>
    <x v="0"/>
    <x v="0"/>
    <x v="107"/>
  </r>
  <r>
    <x v="469"/>
    <x v="268"/>
    <x v="0"/>
    <x v="0"/>
    <x v="310"/>
    <x v="3"/>
    <x v="466"/>
    <x v="16"/>
    <x v="64"/>
    <x v="76"/>
    <x v="1"/>
    <x v="22"/>
    <x v="0"/>
    <x v="9"/>
    <x v="3"/>
    <x v="0"/>
    <x v="1"/>
    <x v="64"/>
  </r>
  <r>
    <x v="470"/>
    <x v="269"/>
    <x v="2"/>
    <x v="2"/>
    <x v="239"/>
    <x v="2"/>
    <x v="467"/>
    <x v="4"/>
    <x v="41"/>
    <x v="119"/>
    <x v="1"/>
    <x v="20"/>
    <x v="2"/>
    <x v="9"/>
    <x v="3"/>
    <x v="0"/>
    <x v="1"/>
    <x v="41"/>
  </r>
  <r>
    <x v="471"/>
    <x v="269"/>
    <x v="1"/>
    <x v="1"/>
    <x v="311"/>
    <x v="0"/>
    <x v="468"/>
    <x v="11"/>
    <x v="29"/>
    <x v="33"/>
    <x v="1"/>
    <x v="19"/>
    <x v="0"/>
    <x v="9"/>
    <x v="3"/>
    <x v="0"/>
    <x v="0"/>
    <x v="29"/>
  </r>
  <r>
    <x v="472"/>
    <x v="270"/>
    <x v="3"/>
    <x v="9"/>
    <x v="312"/>
    <x v="1"/>
    <x v="469"/>
    <x v="9"/>
    <x v="22"/>
    <x v="31"/>
    <x v="1"/>
    <x v="10"/>
    <x v="1"/>
    <x v="9"/>
    <x v="3"/>
    <x v="0"/>
    <x v="0"/>
    <x v="22"/>
  </r>
  <r>
    <x v="473"/>
    <x v="270"/>
    <x v="0"/>
    <x v="11"/>
    <x v="245"/>
    <x v="2"/>
    <x v="470"/>
    <x v="26"/>
    <x v="56"/>
    <x v="69"/>
    <x v="1"/>
    <x v="21"/>
    <x v="2"/>
    <x v="9"/>
    <x v="3"/>
    <x v="0"/>
    <x v="1"/>
    <x v="56"/>
  </r>
  <r>
    <x v="474"/>
    <x v="271"/>
    <x v="2"/>
    <x v="6"/>
    <x v="313"/>
    <x v="0"/>
    <x v="471"/>
    <x v="2"/>
    <x v="10"/>
    <x v="9"/>
    <x v="1"/>
    <x v="7"/>
    <x v="0"/>
    <x v="9"/>
    <x v="3"/>
    <x v="0"/>
    <x v="0"/>
    <x v="10"/>
  </r>
  <r>
    <x v="475"/>
    <x v="271"/>
    <x v="1"/>
    <x v="8"/>
    <x v="314"/>
    <x v="1"/>
    <x v="472"/>
    <x v="5"/>
    <x v="53"/>
    <x v="65"/>
    <x v="1"/>
    <x v="20"/>
    <x v="1"/>
    <x v="9"/>
    <x v="3"/>
    <x v="0"/>
    <x v="0"/>
    <x v="53"/>
  </r>
  <r>
    <x v="476"/>
    <x v="272"/>
    <x v="3"/>
    <x v="3"/>
    <x v="315"/>
    <x v="3"/>
    <x v="473"/>
    <x v="29"/>
    <x v="101"/>
    <x v="122"/>
    <x v="1"/>
    <x v="22"/>
    <x v="0"/>
    <x v="9"/>
    <x v="3"/>
    <x v="0"/>
    <x v="1"/>
    <x v="101"/>
  </r>
  <r>
    <x v="477"/>
    <x v="272"/>
    <x v="0"/>
    <x v="5"/>
    <x v="316"/>
    <x v="2"/>
    <x v="474"/>
    <x v="18"/>
    <x v="101"/>
    <x v="122"/>
    <x v="1"/>
    <x v="22"/>
    <x v="2"/>
    <x v="9"/>
    <x v="3"/>
    <x v="0"/>
    <x v="1"/>
    <x v="101"/>
  </r>
  <r>
    <x v="478"/>
    <x v="273"/>
    <x v="2"/>
    <x v="2"/>
    <x v="317"/>
    <x v="0"/>
    <x v="475"/>
    <x v="7"/>
    <x v="22"/>
    <x v="31"/>
    <x v="1"/>
    <x v="10"/>
    <x v="0"/>
    <x v="9"/>
    <x v="3"/>
    <x v="0"/>
    <x v="0"/>
    <x v="22"/>
  </r>
  <r>
    <x v="479"/>
    <x v="273"/>
    <x v="1"/>
    <x v="1"/>
    <x v="318"/>
    <x v="1"/>
    <x v="476"/>
    <x v="11"/>
    <x v="29"/>
    <x v="33"/>
    <x v="1"/>
    <x v="19"/>
    <x v="1"/>
    <x v="9"/>
    <x v="3"/>
    <x v="0"/>
    <x v="0"/>
    <x v="29"/>
  </r>
  <r>
    <x v="480"/>
    <x v="274"/>
    <x v="3"/>
    <x v="12"/>
    <x v="319"/>
    <x v="3"/>
    <x v="477"/>
    <x v="19"/>
    <x v="102"/>
    <x v="121"/>
    <x v="1"/>
    <x v="36"/>
    <x v="0"/>
    <x v="9"/>
    <x v="3"/>
    <x v="0"/>
    <x v="1"/>
    <x v="102"/>
  </r>
  <r>
    <x v="481"/>
    <x v="274"/>
    <x v="0"/>
    <x v="0"/>
    <x v="320"/>
    <x v="2"/>
    <x v="478"/>
    <x v="26"/>
    <x v="103"/>
    <x v="127"/>
    <x v="1"/>
    <x v="36"/>
    <x v="2"/>
    <x v="9"/>
    <x v="3"/>
    <x v="0"/>
    <x v="1"/>
    <x v="103"/>
  </r>
  <r>
    <x v="482"/>
    <x v="275"/>
    <x v="2"/>
    <x v="6"/>
    <x v="321"/>
    <x v="0"/>
    <x v="479"/>
    <x v="6"/>
    <x v="28"/>
    <x v="32"/>
    <x v="1"/>
    <x v="10"/>
    <x v="0"/>
    <x v="9"/>
    <x v="3"/>
    <x v="0"/>
    <x v="0"/>
    <x v="28"/>
  </r>
  <r>
    <x v="483"/>
    <x v="275"/>
    <x v="1"/>
    <x v="4"/>
    <x v="322"/>
    <x v="1"/>
    <x v="480"/>
    <x v="12"/>
    <x v="39"/>
    <x v="59"/>
    <x v="1"/>
    <x v="21"/>
    <x v="1"/>
    <x v="9"/>
    <x v="3"/>
    <x v="0"/>
    <x v="0"/>
    <x v="39"/>
  </r>
  <r>
    <x v="484"/>
    <x v="276"/>
    <x v="3"/>
    <x v="3"/>
    <x v="323"/>
    <x v="3"/>
    <x v="481"/>
    <x v="5"/>
    <x v="103"/>
    <x v="127"/>
    <x v="1"/>
    <x v="36"/>
    <x v="0"/>
    <x v="9"/>
    <x v="3"/>
    <x v="0"/>
    <x v="1"/>
    <x v="103"/>
  </r>
  <r>
    <x v="485"/>
    <x v="276"/>
    <x v="0"/>
    <x v="10"/>
    <x v="324"/>
    <x v="2"/>
    <x v="482"/>
    <x v="25"/>
    <x v="56"/>
    <x v="69"/>
    <x v="1"/>
    <x v="22"/>
    <x v="2"/>
    <x v="9"/>
    <x v="3"/>
    <x v="0"/>
    <x v="1"/>
    <x v="56"/>
  </r>
  <r>
    <x v="486"/>
    <x v="277"/>
    <x v="2"/>
    <x v="2"/>
    <x v="325"/>
    <x v="0"/>
    <x v="483"/>
    <x v="19"/>
    <x v="47"/>
    <x v="26"/>
    <x v="1"/>
    <x v="10"/>
    <x v="0"/>
    <x v="9"/>
    <x v="3"/>
    <x v="0"/>
    <x v="0"/>
    <x v="47"/>
  </r>
  <r>
    <x v="487"/>
    <x v="277"/>
    <x v="1"/>
    <x v="1"/>
    <x v="326"/>
    <x v="1"/>
    <x v="484"/>
    <x v="27"/>
    <x v="105"/>
    <x v="124"/>
    <x v="1"/>
    <x v="36"/>
    <x v="1"/>
    <x v="9"/>
    <x v="3"/>
    <x v="0"/>
    <x v="0"/>
    <x v="105"/>
  </r>
  <r>
    <x v="488"/>
    <x v="278"/>
    <x v="3"/>
    <x v="9"/>
    <x v="327"/>
    <x v="3"/>
    <x v="485"/>
    <x v="11"/>
    <x v="39"/>
    <x v="44"/>
    <x v="1"/>
    <x v="21"/>
    <x v="0"/>
    <x v="9"/>
    <x v="3"/>
    <x v="0"/>
    <x v="1"/>
    <x v="39"/>
  </r>
  <r>
    <x v="489"/>
    <x v="278"/>
    <x v="0"/>
    <x v="5"/>
    <x v="328"/>
    <x v="2"/>
    <x v="486"/>
    <x v="7"/>
    <x v="105"/>
    <x v="124"/>
    <x v="1"/>
    <x v="37"/>
    <x v="2"/>
    <x v="9"/>
    <x v="3"/>
    <x v="0"/>
    <x v="0"/>
    <x v="105"/>
  </r>
  <r>
    <x v="490"/>
    <x v="279"/>
    <x v="2"/>
    <x v="6"/>
    <x v="329"/>
    <x v="0"/>
    <x v="487"/>
    <x v="10"/>
    <x v="53"/>
    <x v="65"/>
    <x v="1"/>
    <x v="20"/>
    <x v="0"/>
    <x v="9"/>
    <x v="3"/>
    <x v="0"/>
    <x v="0"/>
    <x v="53"/>
  </r>
  <r>
    <x v="491"/>
    <x v="279"/>
    <x v="1"/>
    <x v="8"/>
    <x v="330"/>
    <x v="1"/>
    <x v="488"/>
    <x v="28"/>
    <x v="108"/>
    <x v="128"/>
    <x v="1"/>
    <x v="36"/>
    <x v="1"/>
    <x v="9"/>
    <x v="3"/>
    <x v="0"/>
    <x v="0"/>
    <x v="108"/>
  </r>
  <r>
    <x v="492"/>
    <x v="280"/>
    <x v="3"/>
    <x v="3"/>
    <x v="331"/>
    <x v="3"/>
    <x v="489"/>
    <x v="27"/>
    <x v="105"/>
    <x v="125"/>
    <x v="1"/>
    <x v="36"/>
    <x v="0"/>
    <x v="9"/>
    <x v="3"/>
    <x v="0"/>
    <x v="1"/>
    <x v="105"/>
  </r>
  <r>
    <x v="493"/>
    <x v="280"/>
    <x v="0"/>
    <x v="0"/>
    <x v="332"/>
    <x v="2"/>
    <x v="490"/>
    <x v="12"/>
    <x v="103"/>
    <x v="121"/>
    <x v="1"/>
    <x v="36"/>
    <x v="2"/>
    <x v="9"/>
    <x v="3"/>
    <x v="0"/>
    <x v="0"/>
    <x v="103"/>
  </r>
  <r>
    <x v="494"/>
    <x v="281"/>
    <x v="2"/>
    <x v="2"/>
    <x v="333"/>
    <x v="0"/>
    <x v="491"/>
    <x v="31"/>
    <x v="53"/>
    <x v="65"/>
    <x v="1"/>
    <x v="20"/>
    <x v="0"/>
    <x v="9"/>
    <x v="3"/>
    <x v="0"/>
    <x v="0"/>
    <x v="53"/>
  </r>
  <r>
    <x v="495"/>
    <x v="281"/>
    <x v="1"/>
    <x v="1"/>
    <x v="334"/>
    <x v="1"/>
    <x v="492"/>
    <x v="1"/>
    <x v="107"/>
    <x v="43"/>
    <x v="1"/>
    <x v="21"/>
    <x v="1"/>
    <x v="9"/>
    <x v="3"/>
    <x v="0"/>
    <x v="0"/>
    <x v="107"/>
  </r>
  <r>
    <x v="496"/>
    <x v="282"/>
    <x v="3"/>
    <x v="12"/>
    <x v="335"/>
    <x v="3"/>
    <x v="493"/>
    <x v="28"/>
    <x v="108"/>
    <x v="129"/>
    <x v="1"/>
    <x v="36"/>
    <x v="0"/>
    <x v="9"/>
    <x v="3"/>
    <x v="0"/>
    <x v="1"/>
    <x v="108"/>
  </r>
  <r>
    <x v="497"/>
    <x v="282"/>
    <x v="0"/>
    <x v="11"/>
    <x v="336"/>
    <x v="2"/>
    <x v="494"/>
    <x v="5"/>
    <x v="109"/>
    <x v="130"/>
    <x v="1"/>
    <x v="37"/>
    <x v="2"/>
    <x v="9"/>
    <x v="3"/>
    <x v="0"/>
    <x v="1"/>
    <x v="109"/>
  </r>
  <r>
    <x v="498"/>
    <x v="283"/>
    <x v="2"/>
    <x v="6"/>
    <x v="337"/>
    <x v="0"/>
    <x v="495"/>
    <x v="20"/>
    <x v="102"/>
    <x v="123"/>
    <x v="1"/>
    <x v="22"/>
    <x v="0"/>
    <x v="9"/>
    <x v="3"/>
    <x v="0"/>
    <x v="0"/>
    <x v="102"/>
  </r>
  <r>
    <x v="499"/>
    <x v="283"/>
    <x v="1"/>
    <x v="4"/>
    <x v="117"/>
    <x v="1"/>
    <x v="496"/>
    <x v="30"/>
    <x v="39"/>
    <x v="59"/>
    <x v="1"/>
    <x v="21"/>
    <x v="1"/>
    <x v="9"/>
    <x v="3"/>
    <x v="0"/>
    <x v="0"/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B6" firstHeaderRow="1" firstDataRow="1" firstDataCol="1"/>
  <pivotFields count="18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1" showAll="0"/>
    <pivotField axis="axisRow" compact="0" showAll="0">
      <items count="5">
        <item x="3"/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numFmtId="182" showAll="0">
      <items count="111">
        <item x="109"/>
        <item x="105"/>
        <item x="106"/>
        <item x="103"/>
        <item x="108"/>
        <item x="64"/>
        <item x="102"/>
        <item x="54"/>
        <item x="101"/>
        <item x="56"/>
        <item x="50"/>
        <item x="104"/>
        <item x="39"/>
        <item x="41"/>
        <item x="58"/>
        <item x="107"/>
        <item x="55"/>
        <item x="63"/>
        <item x="53"/>
        <item x="38"/>
        <item x="57"/>
        <item x="61"/>
        <item x="49"/>
        <item x="26"/>
        <item x="51"/>
        <item x="60"/>
        <item x="29"/>
        <item x="100"/>
        <item x="42"/>
        <item x="28"/>
        <item x="40"/>
        <item x="47"/>
        <item x="46"/>
        <item x="22"/>
        <item x="43"/>
        <item x="48"/>
        <item x="18"/>
        <item x="34"/>
        <item x="59"/>
        <item x="23"/>
        <item x="37"/>
        <item x="52"/>
        <item x="30"/>
        <item x="62"/>
        <item x="21"/>
        <item x="35"/>
        <item x="10"/>
        <item x="15"/>
        <item x="65"/>
        <item x="27"/>
        <item x="11"/>
        <item x="45"/>
        <item x="44"/>
        <item x="17"/>
        <item x="14"/>
        <item x="98"/>
        <item x="32"/>
        <item x="8"/>
        <item x="9"/>
        <item x="20"/>
        <item x="24"/>
        <item x="1"/>
        <item x="31"/>
        <item x="95"/>
        <item x="7"/>
        <item x="36"/>
        <item x="3"/>
        <item x="33"/>
        <item x="5"/>
        <item x="13"/>
        <item x="92"/>
        <item x="12"/>
        <item x="16"/>
        <item x="25"/>
        <item x="0"/>
        <item x="91"/>
        <item x="19"/>
        <item x="86"/>
        <item x="93"/>
        <item x="70"/>
        <item x="6"/>
        <item x="2"/>
        <item x="84"/>
        <item x="96"/>
        <item x="87"/>
        <item x="4"/>
        <item x="75"/>
        <item x="78"/>
        <item x="81"/>
        <item x="73"/>
        <item x="83"/>
        <item x="99"/>
        <item x="85"/>
        <item x="76"/>
        <item x="68"/>
        <item x="72"/>
        <item x="82"/>
        <item x="67"/>
        <item x="79"/>
        <item x="89"/>
        <item x="80"/>
        <item x="71"/>
        <item x="74"/>
        <item x="88"/>
        <item x="69"/>
        <item x="90"/>
        <item x="97"/>
        <item x="94"/>
        <item x="77"/>
        <item x="66"/>
        <item t="default"/>
      </items>
    </pivotField>
    <pivotField compact="0" numFmtId="182" showAll="0"/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numFmtId="10" showAll="0"/>
    <pivotField compact="0" numFmtId="18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formats count="4">
    <format dxfId="0">
      <pivotArea dataOnly="0" axis="axisValues" fieldPosition="0"/>
    </format>
    <format dxfId="1">
      <pivotArea collapsedLevelsAreSubtotals="1" fieldPosition="0"/>
    </format>
    <format dxfId="2">
      <pivotArea dataOnly="0" axis="axisValues" fieldPosition="0"/>
    </format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8:B13" firstHeaderRow="1" firstDataRow="1" firstDataCol="1"/>
  <pivotFields count="18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1" showAll="0"/>
    <pivotField compact="0" showAll="0"/>
    <pivotField compact="0" showAll="0"/>
    <pivotField compact="0" showAll="0"/>
    <pivotField axis="axisRow"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/>
    <pivotField dataField="1" compact="0" numFmtId="182" showAll="0">
      <items count="111">
        <item x="109"/>
        <item x="105"/>
        <item x="106"/>
        <item x="103"/>
        <item x="108"/>
        <item x="64"/>
        <item x="102"/>
        <item x="54"/>
        <item x="101"/>
        <item x="56"/>
        <item x="50"/>
        <item x="104"/>
        <item x="39"/>
        <item x="41"/>
        <item x="58"/>
        <item x="107"/>
        <item x="55"/>
        <item x="63"/>
        <item x="53"/>
        <item x="38"/>
        <item x="57"/>
        <item x="61"/>
        <item x="49"/>
        <item x="26"/>
        <item x="51"/>
        <item x="60"/>
        <item x="29"/>
        <item x="100"/>
        <item x="42"/>
        <item x="28"/>
        <item x="40"/>
        <item x="47"/>
        <item x="46"/>
        <item x="22"/>
        <item x="43"/>
        <item x="48"/>
        <item x="18"/>
        <item x="34"/>
        <item x="59"/>
        <item x="23"/>
        <item x="37"/>
        <item x="52"/>
        <item x="30"/>
        <item x="62"/>
        <item x="21"/>
        <item x="35"/>
        <item x="10"/>
        <item x="15"/>
        <item x="65"/>
        <item x="27"/>
        <item x="11"/>
        <item x="45"/>
        <item x="44"/>
        <item x="17"/>
        <item x="14"/>
        <item x="98"/>
        <item x="32"/>
        <item x="8"/>
        <item x="9"/>
        <item x="20"/>
        <item x="24"/>
        <item x="1"/>
        <item x="31"/>
        <item x="95"/>
        <item x="7"/>
        <item x="36"/>
        <item x="3"/>
        <item x="33"/>
        <item x="5"/>
        <item x="13"/>
        <item x="92"/>
        <item x="12"/>
        <item x="16"/>
        <item x="25"/>
        <item x="0"/>
        <item x="91"/>
        <item x="19"/>
        <item x="86"/>
        <item x="93"/>
        <item x="70"/>
        <item x="6"/>
        <item x="2"/>
        <item x="84"/>
        <item x="96"/>
        <item x="87"/>
        <item x="4"/>
        <item x="75"/>
        <item x="78"/>
        <item x="81"/>
        <item x="73"/>
        <item x="83"/>
        <item x="99"/>
        <item x="85"/>
        <item x="76"/>
        <item x="68"/>
        <item x="72"/>
        <item x="82"/>
        <item x="67"/>
        <item x="79"/>
        <item x="89"/>
        <item x="80"/>
        <item x="71"/>
        <item x="74"/>
        <item x="88"/>
        <item x="69"/>
        <item x="90"/>
        <item x="97"/>
        <item x="94"/>
        <item x="77"/>
        <item x="66"/>
        <item t="default"/>
      </items>
    </pivotField>
    <pivotField compact="0" numFmtId="182" showAll="0"/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numFmtId="10" showAll="0"/>
    <pivotField compact="0" numFmtId="182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formats count="4">
    <format dxfId="4">
      <pivotArea dataOnly="0" axis="axisValues" fieldPosition="0"/>
    </format>
    <format dxfId="5">
      <pivotArea collapsedLevelsAreSubtotals="1" fieldPosition="0"/>
    </format>
    <format dxfId="6">
      <pivotArea dataOnly="0" axis="axisValues" fieldPosition="0"/>
    </format>
    <format dxfId="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5:B26" firstHeaderRow="1" firstDataRow="1" firstDataCol="1"/>
  <pivotFields count="18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82" showAll="0">
      <items count="111">
        <item x="109"/>
        <item x="105"/>
        <item x="106"/>
        <item x="103"/>
        <item x="108"/>
        <item x="64"/>
        <item x="102"/>
        <item x="54"/>
        <item x="101"/>
        <item x="56"/>
        <item x="50"/>
        <item x="104"/>
        <item x="39"/>
        <item x="41"/>
        <item x="58"/>
        <item x="107"/>
        <item x="55"/>
        <item x="63"/>
        <item x="53"/>
        <item x="38"/>
        <item x="57"/>
        <item x="61"/>
        <item x="49"/>
        <item x="26"/>
        <item x="51"/>
        <item x="60"/>
        <item x="29"/>
        <item x="100"/>
        <item x="42"/>
        <item x="28"/>
        <item x="40"/>
        <item x="47"/>
        <item x="46"/>
        <item x="22"/>
        <item x="43"/>
        <item x="48"/>
        <item x="18"/>
        <item x="34"/>
        <item x="59"/>
        <item x="23"/>
        <item x="37"/>
        <item x="52"/>
        <item x="30"/>
        <item x="62"/>
        <item x="21"/>
        <item x="35"/>
        <item x="10"/>
        <item x="15"/>
        <item x="65"/>
        <item x="27"/>
        <item x="11"/>
        <item x="45"/>
        <item x="44"/>
        <item x="17"/>
        <item x="14"/>
        <item x="98"/>
        <item x="32"/>
        <item x="8"/>
        <item x="9"/>
        <item x="20"/>
        <item x="24"/>
        <item x="1"/>
        <item x="31"/>
        <item x="95"/>
        <item x="7"/>
        <item x="36"/>
        <item x="3"/>
        <item x="33"/>
        <item x="5"/>
        <item x="13"/>
        <item x="92"/>
        <item x="12"/>
        <item x="16"/>
        <item x="25"/>
        <item x="0"/>
        <item x="91"/>
        <item x="19"/>
        <item x="86"/>
        <item x="93"/>
        <item x="70"/>
        <item x="6"/>
        <item x="2"/>
        <item x="84"/>
        <item x="96"/>
        <item x="87"/>
        <item x="4"/>
        <item x="75"/>
        <item x="78"/>
        <item x="81"/>
        <item x="73"/>
        <item x="83"/>
        <item x="99"/>
        <item x="85"/>
        <item x="76"/>
        <item x="68"/>
        <item x="72"/>
        <item x="82"/>
        <item x="67"/>
        <item x="79"/>
        <item x="89"/>
        <item x="80"/>
        <item x="71"/>
        <item x="74"/>
        <item x="88"/>
        <item x="69"/>
        <item x="90"/>
        <item x="97"/>
        <item x="94"/>
        <item x="77"/>
        <item x="66"/>
        <item t="default"/>
      </items>
    </pivotField>
    <pivotField compact="0" numFmtId="182" showAll="0"/>
    <pivotField compact="0" showAll="0"/>
    <pivotField compact="0" numFmtId="182" showAll="0"/>
    <pivotField compact="0" showAll="0"/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compact="0" showAll="0"/>
    <pivotField compact="0" numFmtId="10" showAll="0"/>
    <pivotField compact="0" numFmtId="182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8" baseField="0" baseItem="0"/>
  </dataFields>
  <formats count="4">
    <format dxfId="8">
      <pivotArea dataOnly="0" axis="axisValues" fieldPosition="0"/>
    </format>
    <format dxfId="9">
      <pivotArea collapsedLevelsAreSubtotals="1" fieldPosition="0"/>
    </format>
    <format dxfId="10">
      <pivotArea dataOnly="0" axis="axisValues" fieldPosition="0"/>
    </format>
    <format dxfId="1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1:E499" firstHeaderRow="1" firstDataRow="1" firstDataCol="1"/>
  <pivotFields count="18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498">
        <item x="112"/>
        <item x="128"/>
        <item x="305"/>
        <item x="218"/>
        <item x="154"/>
        <item x="471"/>
        <item x="185"/>
        <item x="234"/>
        <item x="378"/>
        <item x="125"/>
        <item x="63"/>
        <item x="427"/>
        <item x="453"/>
        <item x="298"/>
        <item x="367"/>
        <item x="106"/>
        <item x="338"/>
        <item x="239"/>
        <item x="153"/>
        <item x="416"/>
        <item x="184"/>
        <item x="102"/>
        <item x="191"/>
        <item x="29"/>
        <item x="60"/>
        <item x="82"/>
        <item x="267"/>
        <item x="158"/>
        <item x="111"/>
        <item x="353"/>
        <item x="393"/>
        <item x="45"/>
        <item x="455"/>
        <item x="464"/>
        <item x="23"/>
        <item x="189"/>
        <item x="13"/>
        <item x="121"/>
        <item x="319"/>
        <item x="410"/>
        <item x="117"/>
        <item x="297"/>
        <item x="480"/>
        <item x="345"/>
        <item x="127"/>
        <item x="10"/>
        <item x="287"/>
        <item x="414"/>
        <item x="50"/>
        <item x="71"/>
        <item x="385"/>
        <item x="475"/>
        <item x="150"/>
        <item x="487"/>
        <item x="296"/>
        <item x="137"/>
        <item x="420"/>
        <item x="466"/>
        <item x="96"/>
        <item x="62"/>
        <item x="404"/>
        <item x="115"/>
        <item x="347"/>
        <item x="94"/>
        <item x="355"/>
        <item x="351"/>
        <item x="374"/>
        <item x="417"/>
        <item x="101"/>
        <item x="180"/>
        <item x="325"/>
        <item x="225"/>
        <item x="388"/>
        <item x="149"/>
        <item x="175"/>
        <item x="44"/>
        <item x="25"/>
        <item x="285"/>
        <item x="134"/>
        <item x="357"/>
        <item x="107"/>
        <item x="309"/>
        <item x="408"/>
        <item x="165"/>
        <item x="118"/>
        <item x="412"/>
        <item x="411"/>
        <item x="139"/>
        <item x="446"/>
        <item x="311"/>
        <item x="99"/>
        <item x="160"/>
        <item x="38"/>
        <item x="443"/>
        <item x="213"/>
        <item x="197"/>
        <item x="61"/>
        <item x="261"/>
        <item x="274"/>
        <item x="209"/>
        <item x="248"/>
        <item x="132"/>
        <item x="279"/>
        <item x="474"/>
        <item x="237"/>
        <item x="211"/>
        <item x="349"/>
        <item x="399"/>
        <item x="484"/>
        <item x="426"/>
        <item x="401"/>
        <item x="91"/>
        <item x="315"/>
        <item x="204"/>
        <item x="457"/>
        <item x="361"/>
        <item x="323"/>
        <item x="1"/>
        <item x="208"/>
        <item x="456"/>
        <item x="146"/>
        <item x="483"/>
        <item x="157"/>
        <item x="358"/>
        <item x="8"/>
        <item x="266"/>
        <item x="273"/>
        <item x="392"/>
        <item x="462"/>
        <item x="336"/>
        <item x="380"/>
        <item x="66"/>
        <item x="156"/>
        <item x="283"/>
        <item x="389"/>
        <item x="80"/>
        <item x="250"/>
        <item x="37"/>
        <item x="494"/>
        <item x="369"/>
        <item x="294"/>
        <item x="202"/>
        <item x="77"/>
        <item x="428"/>
        <item x="147"/>
        <item x="379"/>
        <item x="441"/>
        <item x="300"/>
        <item x="173"/>
        <item x="461"/>
        <item x="476"/>
        <item x="317"/>
        <item x="398"/>
        <item x="148"/>
        <item x="282"/>
        <item x="418"/>
        <item x="73"/>
        <item x="186"/>
        <item x="335"/>
        <item x="342"/>
        <item x="98"/>
        <item x="314"/>
        <item x="450"/>
        <item x="227"/>
        <item x="478"/>
        <item x="424"/>
        <item x="171"/>
        <item x="228"/>
        <item x="423"/>
        <item x="201"/>
        <item x="245"/>
        <item x="370"/>
        <item x="142"/>
        <item x="276"/>
        <item x="203"/>
        <item x="68"/>
        <item x="238"/>
        <item x="222"/>
        <item x="377"/>
        <item x="130"/>
        <item x="331"/>
        <item x="310"/>
        <item x="306"/>
        <item x="406"/>
        <item x="109"/>
        <item x="488"/>
        <item x="205"/>
        <item x="307"/>
        <item x="35"/>
        <item x="177"/>
        <item x="249"/>
        <item x="36"/>
        <item x="200"/>
        <item x="437"/>
        <item x="403"/>
        <item x="496"/>
        <item x="159"/>
        <item x="140"/>
        <item x="391"/>
        <item x="368"/>
        <item x="472"/>
        <item x="360"/>
        <item x="31"/>
        <item x="108"/>
        <item x="452"/>
        <item x="402"/>
        <item x="433"/>
        <item x="7"/>
        <item x="286"/>
        <item x="246"/>
        <item x="75"/>
        <item x="275"/>
        <item x="198"/>
        <item x="451"/>
        <item x="415"/>
        <item x="87"/>
        <item x="346"/>
        <item x="199"/>
        <item x="333"/>
        <item x="16"/>
        <item x="196"/>
        <item x="40"/>
        <item x="459"/>
        <item x="194"/>
        <item x="174"/>
        <item x="133"/>
        <item x="376"/>
        <item x="54"/>
        <item x="241"/>
        <item x="78"/>
        <item x="290"/>
        <item x="217"/>
        <item x="445"/>
        <item x="365"/>
        <item x="4"/>
        <item x="312"/>
        <item x="120"/>
        <item x="421"/>
        <item x="163"/>
        <item x="332"/>
        <item x="162"/>
        <item x="251"/>
        <item x="366"/>
        <item x="363"/>
        <item x="90"/>
        <item x="145"/>
        <item x="178"/>
        <item x="214"/>
        <item x="468"/>
        <item x="93"/>
        <item x="473"/>
        <item x="195"/>
        <item x="413"/>
        <item x="295"/>
        <item x="39"/>
        <item x="260"/>
        <item x="232"/>
        <item x="164"/>
        <item x="207"/>
        <item x="255"/>
        <item x="18"/>
        <item x="490"/>
        <item x="258"/>
        <item x="381"/>
        <item x="65"/>
        <item x="14"/>
        <item x="482"/>
        <item x="253"/>
        <item x="34"/>
        <item x="322"/>
        <item x="430"/>
        <item x="58"/>
        <item x="348"/>
        <item x="493"/>
        <item x="215"/>
        <item x="395"/>
        <item x="76"/>
        <item x="405"/>
        <item x="3"/>
        <item x="221"/>
        <item x="56"/>
        <item x="270"/>
        <item x="57"/>
        <item x="231"/>
        <item x="343"/>
        <item x="46"/>
        <item x="256"/>
        <item x="166"/>
        <item x="55"/>
        <item x="126"/>
        <item x="224"/>
        <item x="419"/>
        <item x="396"/>
        <item x="21"/>
        <item x="252"/>
        <item x="272"/>
        <item x="83"/>
        <item x="152"/>
        <item x="129"/>
        <item x="364"/>
        <item x="183"/>
        <item x="100"/>
        <item x="288"/>
        <item x="320"/>
        <item x="495"/>
        <item x="436"/>
        <item x="362"/>
        <item x="390"/>
        <item x="394"/>
        <item x="169"/>
        <item x="479"/>
        <item x="356"/>
        <item x="172"/>
        <item x="89"/>
        <item x="339"/>
        <item x="188"/>
        <item x="281"/>
        <item x="289"/>
        <item x="124"/>
        <item x="259"/>
        <item x="190"/>
        <item x="20"/>
        <item x="469"/>
        <item x="143"/>
        <item x="141"/>
        <item x="447"/>
        <item x="470"/>
        <item x="435"/>
        <item x="409"/>
        <item x="229"/>
        <item x="265"/>
        <item x="92"/>
        <item x="481"/>
        <item x="95"/>
        <item x="373"/>
        <item x="11"/>
        <item x="233"/>
        <item x="26"/>
        <item x="69"/>
        <item x="326"/>
        <item x="206"/>
        <item x="223"/>
        <item x="155"/>
        <item x="337"/>
        <item x="48"/>
        <item x="302"/>
        <item x="268"/>
        <item x="2"/>
        <item x="182"/>
        <item x="41"/>
        <item x="277"/>
        <item x="439"/>
        <item x="243"/>
        <item x="122"/>
        <item x="79"/>
        <item x="86"/>
        <item x="324"/>
        <item x="219"/>
        <item x="432"/>
        <item x="304"/>
        <item x="104"/>
        <item x="371"/>
        <item x="212"/>
        <item x="308"/>
        <item x="135"/>
        <item x="72"/>
        <item x="216"/>
        <item x="226"/>
        <item x="278"/>
        <item x="492"/>
        <item x="12"/>
        <item x="350"/>
        <item x="454"/>
        <item x="81"/>
        <item x="24"/>
        <item x="442"/>
        <item x="341"/>
        <item x="359"/>
        <item x="327"/>
        <item x="465"/>
        <item x="52"/>
        <item x="136"/>
        <item x="84"/>
        <item x="340"/>
        <item x="284"/>
        <item x="193"/>
        <item x="280"/>
        <item x="47"/>
        <item x="240"/>
        <item x="0"/>
        <item x="444"/>
        <item x="19"/>
        <item x="262"/>
        <item x="5"/>
        <item x="489"/>
        <item x="407"/>
        <item x="49"/>
        <item x="28"/>
        <item x="210"/>
        <item x="131"/>
        <item x="303"/>
        <item x="119"/>
        <item x="64"/>
        <item x="264"/>
        <item x="485"/>
        <item x="318"/>
        <item x="187"/>
        <item x="316"/>
        <item x="254"/>
        <item x="22"/>
        <item x="247"/>
        <item x="17"/>
        <item x="257"/>
        <item x="67"/>
        <item x="74"/>
        <item x="301"/>
        <item x="170"/>
        <item x="375"/>
        <item x="425"/>
        <item x="329"/>
        <item x="313"/>
        <item x="27"/>
        <item x="449"/>
        <item x="263"/>
        <item x="15"/>
        <item x="97"/>
        <item x="53"/>
        <item x="486"/>
        <item x="236"/>
        <item x="397"/>
        <item x="352"/>
        <item x="59"/>
        <item x="463"/>
        <item x="477"/>
        <item x="42"/>
        <item x="151"/>
        <item x="230"/>
        <item x="9"/>
        <item x="438"/>
        <item x="161"/>
        <item x="448"/>
        <item x="400"/>
        <item x="168"/>
        <item x="429"/>
        <item x="387"/>
        <item x="105"/>
        <item x="138"/>
        <item x="43"/>
        <item x="328"/>
        <item x="70"/>
        <item x="334"/>
        <item x="30"/>
        <item x="116"/>
        <item x="440"/>
        <item x="491"/>
        <item x="382"/>
        <item x="460"/>
        <item x="292"/>
        <item x="176"/>
        <item x="431"/>
        <item x="144"/>
        <item x="235"/>
        <item x="6"/>
        <item x="113"/>
        <item x="181"/>
        <item x="330"/>
        <item x="88"/>
        <item x="467"/>
        <item x="321"/>
        <item x="422"/>
        <item x="354"/>
        <item x="110"/>
        <item x="179"/>
        <item x="271"/>
        <item x="386"/>
        <item x="85"/>
        <item x="242"/>
        <item x="434"/>
        <item x="458"/>
        <item x="33"/>
        <item x="384"/>
        <item x="51"/>
        <item x="269"/>
        <item x="123"/>
        <item x="244"/>
        <item x="114"/>
        <item x="299"/>
        <item x="192"/>
        <item x="372"/>
        <item x="167"/>
        <item x="344"/>
        <item x="293"/>
        <item x="383"/>
        <item x="32"/>
        <item x="220"/>
        <item x="103"/>
        <item x="29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numFmtId="182" showAll="0"/>
    <pivotField dataField="1" compact="0" numFmtId="182" showAll="0">
      <items count="132">
        <item x="130"/>
        <item x="125"/>
        <item x="126"/>
        <item x="127"/>
        <item x="124"/>
        <item x="129"/>
        <item x="76"/>
        <item x="121"/>
        <item x="60"/>
        <item x="122"/>
        <item x="128"/>
        <item x="69"/>
        <item x="123"/>
        <item x="71"/>
        <item x="44"/>
        <item x="119"/>
        <item x="62"/>
        <item x="55"/>
        <item x="58"/>
        <item x="59"/>
        <item x="72"/>
        <item x="46"/>
        <item x="66"/>
        <item x="73"/>
        <item x="43"/>
        <item x="61"/>
        <item x="75"/>
        <item x="56"/>
        <item x="65"/>
        <item x="42"/>
        <item x="63"/>
        <item x="30"/>
        <item x="54"/>
        <item x="28"/>
        <item x="52"/>
        <item x="25"/>
        <item x="70"/>
        <item x="33"/>
        <item x="48"/>
        <item x="120"/>
        <item x="47"/>
        <item x="32"/>
        <item x="45"/>
        <item x="26"/>
        <item x="31"/>
        <item x="34"/>
        <item x="64"/>
        <item x="53"/>
        <item x="20"/>
        <item x="39"/>
        <item x="18"/>
        <item x="68"/>
        <item x="112"/>
        <item x="67"/>
        <item x="41"/>
        <item x="57"/>
        <item x="11"/>
        <item x="50"/>
        <item x="74"/>
        <item x="24"/>
        <item x="38"/>
        <item x="13"/>
        <item x="9"/>
        <item x="16"/>
        <item x="77"/>
        <item x="29"/>
        <item x="7"/>
        <item x="110"/>
        <item x="51"/>
        <item x="49"/>
        <item x="19"/>
        <item x="15"/>
        <item x="118"/>
        <item x="36"/>
        <item x="22"/>
        <item x="10"/>
        <item x="8"/>
        <item x="23"/>
        <item x="27"/>
        <item x="1"/>
        <item x="35"/>
        <item x="115"/>
        <item x="6"/>
        <item x="40"/>
        <item x="3"/>
        <item x="37"/>
        <item x="5"/>
        <item x="98"/>
        <item x="14"/>
        <item x="109"/>
        <item x="111"/>
        <item x="12"/>
        <item x="17"/>
        <item x="99"/>
        <item x="0"/>
        <item x="94"/>
        <item x="101"/>
        <item x="21"/>
        <item x="116"/>
        <item x="113"/>
        <item x="82"/>
        <item x="4"/>
        <item x="2"/>
        <item x="89"/>
        <item x="92"/>
        <item x="105"/>
        <item x="88"/>
        <item x="85"/>
        <item x="107"/>
        <item x="102"/>
        <item x="97"/>
        <item x="104"/>
        <item x="100"/>
        <item x="80"/>
        <item x="103"/>
        <item x="84"/>
        <item x="90"/>
        <item x="96"/>
        <item x="87"/>
        <item x="108"/>
        <item x="95"/>
        <item x="79"/>
        <item x="93"/>
        <item x="81"/>
        <item x="83"/>
        <item x="86"/>
        <item x="106"/>
        <item x="117"/>
        <item x="114"/>
        <item x="91"/>
        <item x="78"/>
        <item t="default"/>
      </items>
    </pivotField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numFmtId="10" showAll="0"/>
    <pivotField compact="0" numFmtId="182" showAll="0"/>
  </pivotFields>
  <rowFields count="1">
    <field x="6"/>
  </rowFields>
  <rowItems count="498">
    <i>
      <x v="217"/>
    </i>
    <i>
      <x v="247"/>
    </i>
    <i>
      <x v="346"/>
    </i>
    <i>
      <x v="46"/>
    </i>
    <i>
      <x v="176"/>
    </i>
    <i>
      <x v="352"/>
    </i>
    <i>
      <x v="99"/>
    </i>
    <i>
      <x v="340"/>
    </i>
    <i>
      <x v="283"/>
    </i>
    <i>
      <x v="174"/>
    </i>
    <i>
      <x v="484"/>
    </i>
    <i>
      <x v="366"/>
    </i>
    <i>
      <x v="253"/>
    </i>
    <i>
      <x v="169"/>
    </i>
    <i>
      <x v="3"/>
    </i>
    <i>
      <x v="388"/>
    </i>
    <i>
      <x v="398"/>
    </i>
    <i>
      <x v="461"/>
    </i>
    <i>
      <x v="357"/>
    </i>
    <i>
      <x v="267"/>
    </i>
    <i>
      <x v="412"/>
    </i>
    <i>
      <x v="177"/>
    </i>
    <i>
      <x v="94"/>
    </i>
    <i>
      <x v="258"/>
    </i>
    <i>
      <x v="486"/>
    </i>
    <i>
      <x v="329"/>
    </i>
    <i>
      <x v="334"/>
    </i>
    <i>
      <x v="141"/>
    </i>
    <i>
      <x v="295"/>
    </i>
    <i>
      <x v="290"/>
    </i>
    <i>
      <x v="336"/>
    </i>
    <i>
      <x v="494"/>
    </i>
    <i>
      <x v="392"/>
    </i>
    <i>
      <x v="167"/>
    </i>
    <i>
      <x v="187"/>
    </i>
    <i>
      <x v="17"/>
    </i>
    <i>
      <x v="118"/>
    </i>
    <i>
      <x v="105"/>
    </i>
    <i>
      <x v="38"/>
    </i>
    <i>
      <x v="26"/>
    </i>
    <i>
      <x v="190"/>
    </i>
    <i>
      <x v="7"/>
    </i>
    <i>
      <x v="274"/>
    </i>
    <i>
      <x v="102"/>
    </i>
    <i>
      <x v="367"/>
    </i>
    <i>
      <x v="362"/>
    </i>
    <i>
      <x v="218"/>
    </i>
    <i>
      <x v="112"/>
    </i>
    <i>
      <x v="400"/>
    </i>
    <i>
      <x v="347"/>
    </i>
    <i>
      <x v="192"/>
    </i>
    <i>
      <x v="147"/>
    </i>
    <i>
      <x v="139"/>
    </i>
    <i>
      <x v="70"/>
    </i>
    <i>
      <x v="462"/>
    </i>
    <i>
      <x v="234"/>
    </i>
    <i>
      <x v="403"/>
    </i>
    <i>
      <x v="211"/>
    </i>
    <i>
      <x v="209"/>
    </i>
    <i>
      <x v="186"/>
    </i>
    <i>
      <x v="93"/>
    </i>
    <i>
      <x v="97"/>
    </i>
    <i>
      <x v="133"/>
    </i>
    <i>
      <x v="62"/>
    </i>
    <i>
      <x v="496"/>
    </i>
    <i>
      <x v="493"/>
    </i>
    <i>
      <x v="436"/>
    </i>
    <i>
      <x v="330"/>
    </i>
    <i>
      <x v="284"/>
    </i>
    <i>
      <x v="262"/>
    </i>
    <i>
      <x v="170"/>
    </i>
    <i>
      <x v="71"/>
    </i>
    <i>
      <x v="231"/>
    </i>
    <i>
      <x v="415"/>
    </i>
    <i>
      <x v="408"/>
    </i>
    <i>
      <x v="389"/>
    </i>
    <i>
      <x v="350"/>
    </i>
    <i>
      <x v="314"/>
    </i>
    <i>
      <x v="228"/>
    </i>
    <i>
      <x v="140"/>
    </i>
    <i>
      <x v="341"/>
    </i>
    <i>
      <x v="256"/>
    </i>
    <i>
      <x v="241"/>
    </i>
    <i>
      <x v="178"/>
    </i>
    <i>
      <x v="163"/>
    </i>
    <i>
      <x v="136"/>
    </i>
    <i>
      <x v="113"/>
    </i>
    <i>
      <x v="76"/>
    </i>
    <i>
      <x v="265"/>
    </i>
    <i>
      <x v="191"/>
    </i>
    <i>
      <x v="259"/>
    </i>
    <i>
      <x v="410"/>
    </i>
    <i>
      <x v="126"/>
    </i>
    <i>
      <x v="430"/>
    </i>
    <i>
      <x v="293"/>
    </i>
    <i>
      <x v="281"/>
    </i>
    <i>
      <x v="254"/>
    </i>
    <i>
      <x v="175"/>
    </i>
    <i>
      <x v="115"/>
    </i>
    <i>
      <x v="279"/>
    </i>
    <i>
      <x v="482"/>
    </i>
    <i>
      <x v="393"/>
    </i>
    <i>
      <x v="387"/>
    </i>
    <i>
      <x v="89"/>
    </i>
    <i>
      <x v="79"/>
    </i>
    <i>
      <x v="23"/>
    </i>
    <i>
      <x v="402"/>
    </i>
    <i>
      <x v="457"/>
    </i>
    <i>
      <x v="428"/>
    </i>
    <i>
      <x v="376"/>
    </i>
    <i>
      <x v="368"/>
    </i>
    <i>
      <x v="356"/>
    </i>
    <i>
      <x v="321"/>
    </i>
    <i>
      <x v="278"/>
    </i>
    <i>
      <x v="263"/>
    </i>
    <i>
      <x v="233"/>
    </i>
    <i>
      <x v="29"/>
    </i>
    <i>
      <x v="365"/>
    </i>
    <i>
      <x v="424"/>
    </i>
    <i>
      <x v="423"/>
    </i>
    <i>
      <x v="215"/>
    </i>
    <i>
      <x v="207"/>
    </i>
    <i>
      <x v="45"/>
    </i>
    <i>
      <x v="1"/>
    </i>
    <i>
      <x v="230"/>
    </i>
    <i>
      <x v="98"/>
    </i>
    <i>
      <x v="360"/>
    </i>
    <i>
      <x v="289"/>
    </i>
    <i>
      <x v="96"/>
    </i>
    <i>
      <x v="316"/>
    </i>
    <i>
      <x v="173"/>
    </i>
    <i>
      <x v="117"/>
    </i>
    <i>
      <x v="104"/>
    </i>
    <i>
      <x v="285"/>
    </i>
    <i>
      <x v="188"/>
    </i>
    <i>
      <x v="111"/>
    </i>
    <i>
      <x v="437"/>
    </i>
    <i>
      <x v="411"/>
    </i>
    <i>
      <x v="391"/>
    </i>
    <i>
      <x v="333"/>
    </i>
    <i>
      <x v="48"/>
    </i>
    <i>
      <x v="397"/>
    </i>
    <i>
      <x v="370"/>
    </i>
    <i>
      <x v="319"/>
    </i>
    <i>
      <x v="296"/>
    </i>
    <i>
      <x v="221"/>
    </i>
    <i>
      <x v="210"/>
    </i>
    <i>
      <x v="208"/>
    </i>
    <i>
      <x v="171"/>
    </i>
    <i>
      <x v="116"/>
    </i>
    <i>
      <x v="59"/>
    </i>
    <i>
      <x v="43"/>
    </i>
    <i>
      <x v="479"/>
    </i>
    <i>
      <x v="10"/>
    </i>
    <i>
      <x v="182"/>
    </i>
    <i>
      <x v="106"/>
    </i>
    <i>
      <x v="409"/>
    </i>
    <i>
      <x v="36"/>
    </i>
    <i>
      <x v="434"/>
    </i>
    <i>
      <x v="421"/>
    </i>
    <i>
      <x v="419"/>
    </i>
    <i>
      <x v="386"/>
    </i>
    <i>
      <x v="378"/>
    </i>
    <i>
      <x v="158"/>
    </i>
    <i>
      <x v="75"/>
    </i>
    <i>
      <x v="64"/>
    </i>
    <i>
      <x v="90"/>
    </i>
    <i>
      <x v="495"/>
    </i>
    <i>
      <x v="180"/>
    </i>
    <i>
      <x v="294"/>
    </i>
    <i>
      <x v="476"/>
    </i>
    <i>
      <x v="465"/>
    </i>
    <i>
      <x v="426"/>
    </i>
    <i>
      <x v="413"/>
    </i>
    <i>
      <x v="390"/>
    </i>
    <i>
      <x v="384"/>
    </i>
    <i>
      <x v="363"/>
    </i>
    <i>
      <x v="349"/>
    </i>
    <i>
      <x v="282"/>
    </i>
    <i>
      <x v="268"/>
    </i>
    <i>
      <x v="260"/>
    </i>
    <i>
      <x v="255"/>
    </i>
    <i>
      <x v="154"/>
    </i>
    <i>
      <x v="124"/>
    </i>
    <i>
      <x v="100"/>
    </i>
    <i>
      <x v="31"/>
    </i>
    <i>
      <x v="28"/>
    </i>
    <i>
      <x v="2"/>
    </i>
    <i>
      <x v="435"/>
    </i>
    <i>
      <x v="380"/>
    </i>
    <i>
      <x v="444"/>
    </i>
    <i>
      <x v="212"/>
    </i>
    <i>
      <x v="374"/>
    </i>
    <i>
      <x v="481"/>
    </i>
    <i>
      <x v="456"/>
    </i>
    <i>
      <x v="451"/>
    </i>
    <i>
      <x v="354"/>
    </i>
    <i>
      <x v="351"/>
    </i>
    <i>
      <x v="335"/>
    </i>
    <i>
      <x v="288"/>
    </i>
    <i>
      <x v="272"/>
    </i>
    <i>
      <x v="235"/>
    </i>
    <i>
      <x v="232"/>
    </i>
    <i>
      <x v="132"/>
    </i>
    <i>
      <x v="30"/>
    </i>
    <i>
      <x v="5"/>
    </i>
    <i>
      <x v="219"/>
    </i>
    <i>
      <x v="77"/>
    </i>
    <i>
      <x v="34"/>
    </i>
    <i>
      <x v="470"/>
    </i>
    <i>
      <x v="469"/>
    </i>
    <i>
      <x v="407"/>
    </i>
    <i>
      <x v="345"/>
    </i>
    <i>
      <x v="338"/>
    </i>
    <i>
      <x v="317"/>
    </i>
    <i>
      <x v="157"/>
    </i>
    <i>
      <x v="156"/>
    </i>
    <i>
      <x v="135"/>
    </i>
    <i>
      <x v="13"/>
    </i>
    <i>
      <x v="450"/>
    </i>
    <i>
      <x v="320"/>
    </i>
    <i>
      <x v="245"/>
    </i>
    <i>
      <x v="244"/>
    </i>
    <i>
      <x v="229"/>
    </i>
    <i>
      <x v="137"/>
    </i>
    <i>
      <x v="61"/>
    </i>
    <i>
      <x v="16"/>
    </i>
    <i>
      <x v="223"/>
    </i>
    <i>
      <x v="69"/>
    </i>
    <i>
      <x v="401"/>
    </i>
    <i>
      <x v="224"/>
    </i>
    <i>
      <x v="68"/>
    </i>
    <i>
      <x v="473"/>
    </i>
    <i>
      <x v="448"/>
    </i>
    <i>
      <x v="445"/>
    </i>
    <i>
      <x v="371"/>
    </i>
    <i>
      <x v="325"/>
    </i>
    <i>
      <x v="280"/>
    </i>
    <i>
      <x v="21"/>
    </i>
    <i>
      <x v="37"/>
    </i>
    <i>
      <x v="414"/>
    </i>
    <i>
      <x v="18"/>
    </i>
    <i>
      <x v="440"/>
    </i>
    <i>
      <x v="306"/>
    </i>
    <i>
      <x v="81"/>
    </i>
    <i>
      <x v="27"/>
    </i>
    <i>
      <x v="286"/>
    </i>
    <i>
      <x v="91"/>
    </i>
    <i>
      <x v="480"/>
    </i>
    <i>
      <x v="382"/>
    </i>
    <i>
      <x v="359"/>
    </i>
    <i>
      <x v="353"/>
    </i>
    <i>
      <x v="344"/>
    </i>
    <i>
      <x v="337"/>
    </i>
    <i>
      <x v="331"/>
    </i>
    <i>
      <x v="270"/>
    </i>
    <i>
      <x v="172"/>
    </i>
    <i>
      <x v="142"/>
    </i>
    <i>
      <x v="125"/>
    </i>
    <i>
      <x v="114"/>
    </i>
    <i>
      <x v="110"/>
    </i>
    <i>
      <x v="80"/>
    </i>
    <i>
      <x v="78"/>
    </i>
    <i>
      <x v="65"/>
    </i>
    <i>
      <x v="44"/>
    </i>
    <i>
      <x v="41"/>
    </i>
    <i>
      <x v="343"/>
    </i>
    <i>
      <x v="269"/>
    </i>
    <i>
      <x v="88"/>
    </i>
    <i>
      <x v="49"/>
    </i>
    <i>
      <x v="240"/>
    </i>
    <i>
      <x v="202"/>
    </i>
    <i>
      <x v="463"/>
    </i>
    <i>
      <x v="73"/>
    </i>
    <i>
      <x v="491"/>
    </i>
    <i>
      <x v="323"/>
    </i>
    <i>
      <x v="151"/>
    </i>
    <i>
      <x v="159"/>
    </i>
    <i>
      <x v="24"/>
    </i>
    <i>
      <x v="459"/>
    </i>
    <i>
      <x v="429"/>
    </i>
    <i>
      <x v="420"/>
    </i>
    <i>
      <x v="322"/>
    </i>
    <i>
      <x v="303"/>
    </i>
    <i>
      <x v="287"/>
    </i>
    <i>
      <x v="246"/>
    </i>
    <i>
      <x v="227"/>
    </i>
    <i>
      <x v="134"/>
    </i>
    <i>
      <x v="54"/>
    </i>
    <i>
      <x v="51"/>
    </i>
    <i>
      <x v="32"/>
    </i>
    <i>
      <x v="447"/>
    </i>
    <i>
      <x v="348"/>
    </i>
    <i>
      <x v="342"/>
    </i>
    <i>
      <x v="302"/>
    </i>
    <i>
      <x v="264"/>
    </i>
    <i>
      <x v="243"/>
    </i>
    <i>
      <x v="143"/>
    </i>
    <i>
      <x v="121"/>
    </i>
    <i>
      <x v="67"/>
    </i>
    <i>
      <x/>
    </i>
    <i>
      <x v="63"/>
    </i>
    <i>
      <x v="488"/>
    </i>
    <i>
      <x v="475"/>
    </i>
    <i>
      <x v="466"/>
    </i>
    <i>
      <x v="453"/>
    </i>
    <i>
      <x v="449"/>
    </i>
    <i>
      <x v="405"/>
    </i>
    <i>
      <x v="383"/>
    </i>
    <i>
      <x v="377"/>
    </i>
    <i>
      <x v="310"/>
    </i>
    <i>
      <x v="301"/>
    </i>
    <i>
      <x v="298"/>
    </i>
    <i>
      <x v="271"/>
    </i>
    <i>
      <x v="252"/>
    </i>
    <i>
      <x v="236"/>
    </i>
    <i>
      <x v="213"/>
    </i>
    <i>
      <x v="203"/>
    </i>
    <i>
      <x v="189"/>
    </i>
    <i>
      <x v="181"/>
    </i>
    <i>
      <x v="161"/>
    </i>
    <i>
      <x v="131"/>
    </i>
    <i>
      <x v="15"/>
    </i>
    <i>
      <x v="8"/>
    </i>
    <i>
      <x v="6"/>
    </i>
    <i>
      <x v="483"/>
    </i>
    <i>
      <x v="425"/>
    </i>
    <i>
      <x v="315"/>
    </i>
    <i>
      <x v="443"/>
    </i>
    <i>
      <x v="66"/>
    </i>
    <i>
      <x v="160"/>
    </i>
    <i>
      <x v="490"/>
    </i>
    <i>
      <x v="468"/>
    </i>
    <i>
      <x v="431"/>
    </i>
    <i>
      <x v="417"/>
    </i>
    <i>
      <x v="381"/>
    </i>
    <i>
      <x v="358"/>
    </i>
    <i>
      <x v="307"/>
    </i>
    <i>
      <x v="257"/>
    </i>
    <i>
      <x v="248"/>
    </i>
    <i>
      <x v="242"/>
    </i>
    <i>
      <x v="194"/>
    </i>
    <i>
      <x v="179"/>
    </i>
    <i>
      <x v="150"/>
    </i>
    <i>
      <x v="149"/>
    </i>
    <i>
      <x v="146"/>
    </i>
    <i>
      <x v="144"/>
    </i>
    <i>
      <x v="85"/>
    </i>
    <i>
      <x v="35"/>
    </i>
    <i>
      <x v="309"/>
    </i>
    <i>
      <x v="399"/>
    </i>
    <i>
      <x v="339"/>
    </i>
    <i>
      <x v="276"/>
    </i>
    <i>
      <x v="239"/>
    </i>
    <i>
      <x v="153"/>
    </i>
    <i>
      <x v="148"/>
    </i>
    <i>
      <x v="127"/>
    </i>
    <i>
      <x v="92"/>
    </i>
    <i>
      <x v="471"/>
    </i>
    <i>
      <x v="406"/>
    </i>
    <i>
      <x v="396"/>
    </i>
    <i>
      <x v="355"/>
    </i>
    <i>
      <x v="324"/>
    </i>
    <i>
      <x v="312"/>
    </i>
    <i>
      <x v="311"/>
    </i>
    <i>
      <x v="204"/>
    </i>
    <i>
      <x v="123"/>
    </i>
    <i>
      <x v="119"/>
    </i>
    <i>
      <x v="83"/>
    </i>
    <i>
      <x v="82"/>
    </i>
    <i>
      <x v="55"/>
    </i>
    <i>
      <x v="452"/>
    </i>
    <i>
      <x v="297"/>
    </i>
    <i>
      <x v="460"/>
    </i>
    <i>
      <x v="373"/>
    </i>
    <i>
      <x v="22"/>
    </i>
    <i>
      <x v="4"/>
    </i>
    <i>
      <x v="442"/>
    </i>
    <i>
      <x v="220"/>
    </i>
    <i>
      <x v="197"/>
    </i>
    <i>
      <x v="464"/>
    </i>
    <i>
      <x v="145"/>
    </i>
    <i>
      <x v="95"/>
    </i>
    <i>
      <x v="25"/>
    </i>
    <i>
      <x v="9"/>
    </i>
    <i>
      <x v="455"/>
    </i>
    <i>
      <x v="454"/>
    </i>
    <i>
      <x v="438"/>
    </i>
    <i>
      <x v="275"/>
    </i>
    <i>
      <x v="222"/>
    </i>
    <i>
      <x v="216"/>
    </i>
    <i>
      <x v="200"/>
    </i>
    <i>
      <x v="193"/>
    </i>
    <i>
      <x v="162"/>
    </i>
    <i>
      <x v="130"/>
    </i>
    <i>
      <x v="122"/>
    </i>
    <i>
      <x v="120"/>
    </i>
    <i>
      <x v="74"/>
    </i>
    <i>
      <x v="72"/>
    </i>
    <i>
      <x v="56"/>
    </i>
    <i>
      <x v="53"/>
    </i>
    <i>
      <x v="20"/>
    </i>
    <i>
      <x v="14"/>
    </i>
    <i>
      <x v="84"/>
    </i>
    <i>
      <x v="385"/>
    </i>
    <i>
      <x v="155"/>
    </i>
    <i>
      <x v="33"/>
    </i>
    <i>
      <x v="364"/>
    </i>
    <i>
      <x v="379"/>
    </i>
    <i>
      <x v="369"/>
    </i>
    <i>
      <x v="313"/>
    </i>
    <i>
      <x v="299"/>
    </i>
    <i>
      <x v="129"/>
    </i>
    <i>
      <x v="87"/>
    </i>
    <i>
      <x v="472"/>
    </i>
    <i>
      <x v="52"/>
    </i>
    <i>
      <x v="439"/>
    </i>
    <i>
      <x v="205"/>
    </i>
    <i>
      <x v="184"/>
    </i>
    <i>
      <x v="58"/>
    </i>
    <i>
      <x v="166"/>
    </i>
    <i>
      <x v="487"/>
    </i>
    <i>
      <x v="432"/>
    </i>
    <i>
      <x v="308"/>
    </i>
    <i>
      <x v="305"/>
    </i>
    <i>
      <x v="277"/>
    </i>
    <i>
      <x v="195"/>
    </i>
    <i>
      <x v="101"/>
    </i>
    <i>
      <x v="42"/>
    </i>
    <i>
      <x v="39"/>
    </i>
    <i>
      <x v="489"/>
    </i>
    <i>
      <x v="474"/>
    </i>
    <i>
      <x v="375"/>
    </i>
    <i>
      <x v="328"/>
    </i>
    <i>
      <x v="318"/>
    </i>
    <i>
      <x v="201"/>
    </i>
    <i>
      <x v="196"/>
    </i>
    <i>
      <x v="107"/>
    </i>
    <i>
      <x v="300"/>
    </i>
    <i>
      <x v="40"/>
    </i>
    <i>
      <x v="492"/>
    </i>
    <i>
      <x v="458"/>
    </i>
    <i>
      <x v="446"/>
    </i>
    <i>
      <x v="361"/>
    </i>
    <i>
      <x v="237"/>
    </i>
    <i>
      <x v="165"/>
    </i>
    <i>
      <x v="50"/>
    </i>
    <i>
      <x v="478"/>
    </i>
    <i>
      <x v="467"/>
    </i>
    <i>
      <x v="199"/>
    </i>
    <i>
      <x v="485"/>
    </i>
    <i>
      <x v="404"/>
    </i>
    <i>
      <x v="395"/>
    </i>
    <i>
      <x v="249"/>
    </i>
    <i>
      <x v="206"/>
    </i>
    <i>
      <x v="198"/>
    </i>
    <i>
      <x v="168"/>
    </i>
    <i>
      <x v="19"/>
    </i>
    <i>
      <x v="416"/>
    </i>
    <i>
      <x v="304"/>
    </i>
    <i>
      <x v="183"/>
    </i>
    <i>
      <x v="12"/>
    </i>
    <i>
      <x v="422"/>
    </i>
    <i>
      <x v="418"/>
    </i>
    <i>
      <x v="326"/>
    </i>
    <i>
      <x v="266"/>
    </i>
    <i>
      <x v="238"/>
    </i>
    <i>
      <x v="60"/>
    </i>
    <i>
      <x v="185"/>
    </i>
    <i>
      <x v="441"/>
    </i>
    <i>
      <x v="250"/>
    </i>
    <i>
      <x v="103"/>
    </i>
    <i>
      <x v="225"/>
    </i>
    <i>
      <x v="433"/>
    </i>
    <i>
      <x v="292"/>
    </i>
    <i>
      <x v="261"/>
    </i>
    <i>
      <x v="152"/>
    </i>
    <i>
      <x v="109"/>
    </i>
    <i>
      <x v="86"/>
    </i>
    <i>
      <x v="477"/>
    </i>
    <i>
      <x v="251"/>
    </i>
    <i>
      <x v="226"/>
    </i>
    <i>
      <x v="128"/>
    </i>
    <i>
      <x v="57"/>
    </i>
    <i>
      <x v="273"/>
    </i>
    <i>
      <x v="427"/>
    </i>
    <i>
      <x v="327"/>
    </i>
    <i>
      <x v="108"/>
    </i>
    <i>
      <x v="47"/>
    </i>
    <i>
      <x v="11"/>
    </i>
    <i>
      <x v="372"/>
    </i>
    <i>
      <x v="332"/>
    </i>
    <i>
      <x v="164"/>
    </i>
    <i>
      <x v="291"/>
    </i>
    <i>
      <x v="394"/>
    </i>
    <i>
      <x v="214"/>
    </i>
    <i>
      <x v="138"/>
    </i>
    <i t="grand">
      <x/>
    </i>
  </rowItems>
  <colItems count="1">
    <i/>
  </colItems>
  <dataFields count="1">
    <dataField name="Sum of Profit" fld="9" baseField="0" baseItem="0"/>
  </dataFields>
  <formats count="3"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Sales" displayName="tblSales" ref="A1:R501" totalsRowShown="0">
  <autoFilter xmlns:etc="http://www.wps.cn/officeDocument/2017/etCustomData" ref="A1:R501" etc:filterBottomFollowUsedRange="0"/>
  <tableColumns count="18">
    <tableColumn id="1" name="Order ID"/>
    <tableColumn id="2" name="Date" dataDxfId="15"/>
    <tableColumn id="3" name="Region"/>
    <tableColumn id="4" name="State"/>
    <tableColumn id="5" name="Sales Rep"/>
    <tableColumn id="6" name="Product Category"/>
    <tableColumn id="7" name="Product"/>
    <tableColumn id="8" name="Units Sold"/>
    <tableColumn id="9" name="Revenue" dataDxfId="16"/>
    <tableColumn id="10" name="Profit" dataDxfId="17"/>
    <tableColumn id="11" name="Discount (%)"/>
    <tableColumn id="12" name="Shipping Cost" dataDxfId="18"/>
    <tableColumn id="13" name="Sales Channel"/>
    <tableColumn id="14" name="Month" dataDxfId="19">
      <calculatedColumnFormula>TEXT(tblSales[[#This Row],[Date]],"mmmm")</calculatedColumnFormula>
    </tableColumn>
    <tableColumn id="15" name="Quarter" dataDxfId="20">
      <calculatedColumnFormula>"Q"&amp;ROUNDUP(MONTH(tblSales[[#This Row],[Date]])/3,0)</calculatedColumnFormula>
    </tableColumn>
    <tableColumn id="16" name="Year" dataDxfId="21">
      <calculatedColumnFormula>YEAR(tblSales[[#This Row],[Date]])</calculatedColumnFormula>
    </tableColumn>
    <tableColumn id="17" name="Profit Margin%" dataDxfId="22">
      <calculatedColumnFormula>tblSales[[#This Row],[Profit]]/tblSales[[#This Row],[Revenue]]</calculatedColumnFormula>
    </tableColumn>
    <tableColumn id="18" name="Revenue Target" dataDxfId="23">
      <calculatedColumnFormula>tblSales[[#This Row],[Revenue]]*1.1</calculatedColumnFormula>
    </tableColumn>
  </tableColumns>
  <tableStyleInfo name="TableStylePreset8_Dark" showFirstColumn="1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R501"/>
  <sheetViews>
    <sheetView workbookViewId="0">
      <pane ySplit="1" topLeftCell="A2" activePane="bottomLeft" state="frozen"/>
      <selection/>
      <selection pane="bottomLeft" activeCell="F19" sqref="F19"/>
    </sheetView>
  </sheetViews>
  <sheetFormatPr defaultColWidth="9.14285714285714" defaultRowHeight="15"/>
  <cols>
    <col min="1" max="1" width="10" customWidth="1"/>
    <col min="2" max="2" width="14.5714285714286" style="7" customWidth="1"/>
    <col min="3" max="3" width="11.2857142857143" customWidth="1"/>
    <col min="4" max="4" width="12.8571428571429" customWidth="1"/>
    <col min="5" max="5" width="24" customWidth="1"/>
    <col min="6" max="6" width="17.5714285714286" customWidth="1"/>
    <col min="7" max="7" width="33.1428571428571" customWidth="1"/>
    <col min="8" max="8" width="10.4285714285714" customWidth="1"/>
    <col min="9" max="9" width="17.4285714285714" style="8" customWidth="1"/>
    <col min="10" max="10" width="16.8571428571429" style="8" customWidth="1"/>
    <col min="11" max="11" width="13" customWidth="1"/>
    <col min="12" max="12" width="19" style="8" customWidth="1"/>
    <col min="13" max="13" width="14.2857142857143" customWidth="1"/>
    <col min="17" max="17" width="16.8571428571429" style="5" customWidth="1"/>
    <col min="18" max="18" width="18.4285714285714" style="8" customWidth="1"/>
  </cols>
  <sheetData>
    <row r="1" spans="1:18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" t="s">
        <v>10</v>
      </c>
      <c r="L1" s="10" t="s">
        <v>11</v>
      </c>
      <c r="M1" s="1" t="s">
        <v>12</v>
      </c>
      <c r="N1" t="s">
        <v>13</v>
      </c>
      <c r="O1" t="s">
        <v>14</v>
      </c>
      <c r="P1" t="s">
        <v>15</v>
      </c>
      <c r="Q1" s="5" t="s">
        <v>16</v>
      </c>
      <c r="R1" s="8" t="s">
        <v>17</v>
      </c>
    </row>
    <row r="2" spans="1:18">
      <c r="A2" t="s">
        <v>18</v>
      </c>
      <c r="B2" s="7">
        <v>45306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12</v>
      </c>
      <c r="I2" s="8">
        <v>1250000</v>
      </c>
      <c r="J2" s="8">
        <v>250000</v>
      </c>
      <c r="K2">
        <v>5</v>
      </c>
      <c r="L2" s="8">
        <v>25000</v>
      </c>
      <c r="M2" t="s">
        <v>24</v>
      </c>
      <c r="N2" s="11" t="str">
        <f>TEXT(tblSales[[#This Row],[Date]],"mmmm")</f>
        <v>January</v>
      </c>
      <c r="O2" s="11" t="str">
        <f>"Q"&amp;ROUNDUP(MONTH(tblSales[[#This Row],[Date]])/3,0)</f>
        <v>Q1</v>
      </c>
      <c r="P2" s="11">
        <f>YEAR(tblSales[[#This Row],[Date]])</f>
        <v>2024</v>
      </c>
      <c r="Q2" s="5">
        <f>tblSales[[#This Row],[Profit]]/tblSales[[#This Row],[Revenue]]</f>
        <v>0.2</v>
      </c>
      <c r="R2" s="8">
        <f>tblSales[[#This Row],[Revenue]]*1.1</f>
        <v>1375000</v>
      </c>
    </row>
    <row r="3" spans="1:18">
      <c r="A3" t="s">
        <v>25</v>
      </c>
      <c r="B3" s="7">
        <v>45307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45</v>
      </c>
      <c r="I3" s="8">
        <v>675000</v>
      </c>
      <c r="J3" s="8">
        <v>135000</v>
      </c>
      <c r="K3">
        <v>0</v>
      </c>
      <c r="L3" s="8">
        <v>15000</v>
      </c>
      <c r="M3" t="s">
        <v>31</v>
      </c>
      <c r="N3" s="11" t="str">
        <f>TEXT(tblSales[[#This Row],[Date]],"mmmm")</f>
        <v>January</v>
      </c>
      <c r="O3" s="11" t="str">
        <f>"Q"&amp;ROUNDUP(MONTH(tblSales[[#This Row],[Date]])/3,0)</f>
        <v>Q1</v>
      </c>
      <c r="P3" s="11">
        <f>YEAR(tblSales[[#This Row],[Date]])</f>
        <v>2024</v>
      </c>
      <c r="Q3" s="5">
        <f>tblSales[[#This Row],[Profit]]/tblSales[[#This Row],[Revenue]]</f>
        <v>0.2</v>
      </c>
      <c r="R3" s="8">
        <f>tblSales[[#This Row],[Revenue]]*1.1</f>
        <v>742500</v>
      </c>
    </row>
    <row r="4" spans="1:18">
      <c r="A4" t="s">
        <v>32</v>
      </c>
      <c r="B4" s="7">
        <v>45307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200</v>
      </c>
      <c r="I4" s="8">
        <v>2000000</v>
      </c>
      <c r="J4" s="8">
        <v>400000</v>
      </c>
      <c r="K4">
        <v>0</v>
      </c>
      <c r="L4" s="8">
        <v>50000</v>
      </c>
      <c r="M4" t="s">
        <v>38</v>
      </c>
      <c r="N4" s="11" t="str">
        <f>TEXT(tblSales[[#This Row],[Date]],"mmmm")</f>
        <v>January</v>
      </c>
      <c r="O4" s="11" t="str">
        <f>"Q"&amp;ROUNDUP(MONTH(tblSales[[#This Row],[Date]])/3,0)</f>
        <v>Q1</v>
      </c>
      <c r="P4" s="11">
        <f>YEAR(tblSales[[#This Row],[Date]])</f>
        <v>2024</v>
      </c>
      <c r="Q4" s="5">
        <f>tblSales[[#This Row],[Profit]]/tblSales[[#This Row],[Revenue]]</f>
        <v>0.2</v>
      </c>
      <c r="R4" s="8">
        <f>tblSales[[#This Row],[Revenue]]*1.1</f>
        <v>2200000</v>
      </c>
    </row>
    <row r="5" spans="1:18">
      <c r="A5" t="s">
        <v>39</v>
      </c>
      <c r="B5" s="7">
        <v>45308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>
        <v>8</v>
      </c>
      <c r="I5" s="8">
        <v>800000</v>
      </c>
      <c r="J5" s="8">
        <v>160000</v>
      </c>
      <c r="K5">
        <v>10</v>
      </c>
      <c r="L5" s="8">
        <v>30000</v>
      </c>
      <c r="M5" t="s">
        <v>24</v>
      </c>
      <c r="N5" s="11" t="str">
        <f>TEXT(tblSales[[#This Row],[Date]],"mmmm")</f>
        <v>January</v>
      </c>
      <c r="O5" s="11" t="str">
        <f>"Q"&amp;ROUNDUP(MONTH(tblSales[[#This Row],[Date]])/3,0)</f>
        <v>Q1</v>
      </c>
      <c r="P5" s="11">
        <f>YEAR(tblSales[[#This Row],[Date]])</f>
        <v>2024</v>
      </c>
      <c r="Q5" s="5">
        <f>tblSales[[#This Row],[Profit]]/tblSales[[#This Row],[Revenue]]</f>
        <v>0.2</v>
      </c>
      <c r="R5" s="8">
        <f>tblSales[[#This Row],[Revenue]]*1.1</f>
        <v>880000</v>
      </c>
    </row>
    <row r="6" spans="1:18">
      <c r="A6" t="s">
        <v>45</v>
      </c>
      <c r="B6" s="7">
        <v>45308</v>
      </c>
      <c r="C6" t="s">
        <v>26</v>
      </c>
      <c r="D6" t="s">
        <v>46</v>
      </c>
      <c r="E6" t="s">
        <v>47</v>
      </c>
      <c r="F6" t="s">
        <v>22</v>
      </c>
      <c r="G6" t="s">
        <v>48</v>
      </c>
      <c r="H6">
        <v>5</v>
      </c>
      <c r="I6" s="8">
        <v>2500000</v>
      </c>
      <c r="J6" s="8">
        <v>375000</v>
      </c>
      <c r="K6">
        <v>15</v>
      </c>
      <c r="L6" s="8">
        <v>40000</v>
      </c>
      <c r="M6" t="s">
        <v>24</v>
      </c>
      <c r="N6" s="11" t="str">
        <f>TEXT(tblSales[[#This Row],[Date]],"mmmm")</f>
        <v>January</v>
      </c>
      <c r="O6" s="11" t="str">
        <f>"Q"&amp;ROUNDUP(MONTH(tblSales[[#This Row],[Date]])/3,0)</f>
        <v>Q1</v>
      </c>
      <c r="P6" s="11">
        <f>YEAR(tblSales[[#This Row],[Date]])</f>
        <v>2024</v>
      </c>
      <c r="Q6" s="5">
        <f>tblSales[[#This Row],[Profit]]/tblSales[[#This Row],[Revenue]]</f>
        <v>0.15</v>
      </c>
      <c r="R6" s="8">
        <f>tblSales[[#This Row],[Revenue]]*1.1</f>
        <v>2750000</v>
      </c>
    </row>
    <row r="7" spans="1:18">
      <c r="A7" t="s">
        <v>49</v>
      </c>
      <c r="B7" s="7">
        <v>45309</v>
      </c>
      <c r="C7" t="s">
        <v>19</v>
      </c>
      <c r="D7" t="s">
        <v>50</v>
      </c>
      <c r="E7" t="s">
        <v>51</v>
      </c>
      <c r="F7" t="s">
        <v>29</v>
      </c>
      <c r="G7" t="s">
        <v>52</v>
      </c>
      <c r="H7">
        <v>30</v>
      </c>
      <c r="I7" s="8">
        <v>900000</v>
      </c>
      <c r="J7" s="8">
        <v>180000</v>
      </c>
      <c r="K7">
        <v>0</v>
      </c>
      <c r="L7" s="8">
        <v>20000</v>
      </c>
      <c r="M7" t="s">
        <v>31</v>
      </c>
      <c r="N7" s="11" t="str">
        <f>TEXT(tblSales[[#This Row],[Date]],"mmmm")</f>
        <v>January</v>
      </c>
      <c r="O7" s="11" t="str">
        <f>"Q"&amp;ROUNDUP(MONTH(tblSales[[#This Row],[Date]])/3,0)</f>
        <v>Q1</v>
      </c>
      <c r="P7" s="11">
        <f>YEAR(tblSales[[#This Row],[Date]])</f>
        <v>2024</v>
      </c>
      <c r="Q7" s="5">
        <f>tblSales[[#This Row],[Profit]]/tblSales[[#This Row],[Revenue]]</f>
        <v>0.2</v>
      </c>
      <c r="R7" s="8">
        <f>tblSales[[#This Row],[Revenue]]*1.1</f>
        <v>990000</v>
      </c>
    </row>
    <row r="8" spans="1:18">
      <c r="A8" t="s">
        <v>53</v>
      </c>
      <c r="B8" s="7">
        <v>45310</v>
      </c>
      <c r="C8" t="s">
        <v>33</v>
      </c>
      <c r="D8" t="s">
        <v>54</v>
      </c>
      <c r="E8" t="s">
        <v>55</v>
      </c>
      <c r="F8" t="s">
        <v>36</v>
      </c>
      <c r="G8" t="s">
        <v>56</v>
      </c>
      <c r="H8">
        <v>150</v>
      </c>
      <c r="I8" s="8">
        <v>1875000</v>
      </c>
      <c r="J8" s="8">
        <v>375000</v>
      </c>
      <c r="K8">
        <v>0</v>
      </c>
      <c r="L8" s="8">
        <v>60000</v>
      </c>
      <c r="M8" t="s">
        <v>38</v>
      </c>
      <c r="N8" s="11" t="str">
        <f>TEXT(tblSales[[#This Row],[Date]],"mmmm")</f>
        <v>January</v>
      </c>
      <c r="O8" s="11" t="str">
        <f>"Q"&amp;ROUNDUP(MONTH(tblSales[[#This Row],[Date]])/3,0)</f>
        <v>Q1</v>
      </c>
      <c r="P8" s="11">
        <f>YEAR(tblSales[[#This Row],[Date]])</f>
        <v>2024</v>
      </c>
      <c r="Q8" s="5">
        <f>tblSales[[#This Row],[Profit]]/tblSales[[#This Row],[Revenue]]</f>
        <v>0.2</v>
      </c>
      <c r="R8" s="8">
        <f>tblSales[[#This Row],[Revenue]]*1.1</f>
        <v>2062500</v>
      </c>
    </row>
    <row r="9" spans="1:18">
      <c r="A9" t="s">
        <v>57</v>
      </c>
      <c r="B9" s="7">
        <v>45310</v>
      </c>
      <c r="C9" t="s">
        <v>26</v>
      </c>
      <c r="D9" t="s">
        <v>27</v>
      </c>
      <c r="E9" t="s">
        <v>58</v>
      </c>
      <c r="F9" t="s">
        <v>22</v>
      </c>
      <c r="G9" t="s">
        <v>59</v>
      </c>
      <c r="H9">
        <v>50</v>
      </c>
      <c r="I9" s="8">
        <v>750000</v>
      </c>
      <c r="J9" s="8">
        <v>150000</v>
      </c>
      <c r="K9">
        <v>5</v>
      </c>
      <c r="L9" s="8">
        <v>10000</v>
      </c>
      <c r="M9" t="s">
        <v>24</v>
      </c>
      <c r="N9" s="11" t="str">
        <f>TEXT(tblSales[[#This Row],[Date]],"mmmm")</f>
        <v>January</v>
      </c>
      <c r="O9" s="11" t="str">
        <f>"Q"&amp;ROUNDUP(MONTH(tblSales[[#This Row],[Date]])/3,0)</f>
        <v>Q1</v>
      </c>
      <c r="P9" s="11">
        <f>YEAR(tblSales[[#This Row],[Date]])</f>
        <v>2024</v>
      </c>
      <c r="Q9" s="5">
        <f>tblSales[[#This Row],[Profit]]/tblSales[[#This Row],[Revenue]]</f>
        <v>0.2</v>
      </c>
      <c r="R9" s="8">
        <f>tblSales[[#This Row],[Revenue]]*1.1</f>
        <v>825000</v>
      </c>
    </row>
    <row r="10" spans="1:18">
      <c r="A10" t="s">
        <v>60</v>
      </c>
      <c r="B10" s="7">
        <v>45311</v>
      </c>
      <c r="C10" t="s">
        <v>40</v>
      </c>
      <c r="D10" t="s">
        <v>61</v>
      </c>
      <c r="E10" t="s">
        <v>62</v>
      </c>
      <c r="F10" t="s">
        <v>43</v>
      </c>
      <c r="G10" t="s">
        <v>63</v>
      </c>
      <c r="H10">
        <v>4</v>
      </c>
      <c r="I10" s="8">
        <v>600000</v>
      </c>
      <c r="J10" s="8">
        <v>90000</v>
      </c>
      <c r="K10">
        <v>20</v>
      </c>
      <c r="L10" s="8">
        <v>45000</v>
      </c>
      <c r="M10" t="s">
        <v>31</v>
      </c>
      <c r="N10" s="11" t="str">
        <f>TEXT(tblSales[[#This Row],[Date]],"mmmm")</f>
        <v>January</v>
      </c>
      <c r="O10" s="11" t="str">
        <f>"Q"&amp;ROUNDUP(MONTH(tblSales[[#This Row],[Date]])/3,0)</f>
        <v>Q1</v>
      </c>
      <c r="P10" s="11">
        <f>YEAR(tblSales[[#This Row],[Date]])</f>
        <v>2024</v>
      </c>
      <c r="Q10" s="5">
        <f>tblSales[[#This Row],[Profit]]/tblSales[[#This Row],[Revenue]]</f>
        <v>0.15</v>
      </c>
      <c r="R10" s="8">
        <f>tblSales[[#This Row],[Revenue]]*1.1</f>
        <v>660000</v>
      </c>
    </row>
    <row r="11" spans="1:18">
      <c r="A11" t="s">
        <v>64</v>
      </c>
      <c r="B11" s="7">
        <v>45311</v>
      </c>
      <c r="C11" t="s">
        <v>19</v>
      </c>
      <c r="D11" t="s">
        <v>20</v>
      </c>
      <c r="E11" t="s">
        <v>65</v>
      </c>
      <c r="F11" t="s">
        <v>29</v>
      </c>
      <c r="G11" t="s">
        <v>66</v>
      </c>
      <c r="H11">
        <v>25</v>
      </c>
      <c r="I11" s="8">
        <v>625000</v>
      </c>
      <c r="J11" s="8">
        <v>125000</v>
      </c>
      <c r="K11">
        <v>0</v>
      </c>
      <c r="L11" s="8">
        <v>12000</v>
      </c>
      <c r="M11" t="s">
        <v>24</v>
      </c>
      <c r="N11" s="11" t="str">
        <f>TEXT(tblSales[[#This Row],[Date]],"mmmm")</f>
        <v>January</v>
      </c>
      <c r="O11" s="11" t="str">
        <f>"Q"&amp;ROUNDUP(MONTH(tblSales[[#This Row],[Date]])/3,0)</f>
        <v>Q1</v>
      </c>
      <c r="P11" s="11">
        <f>YEAR(tblSales[[#This Row],[Date]])</f>
        <v>2024</v>
      </c>
      <c r="Q11" s="5">
        <f>tblSales[[#This Row],[Profit]]/tblSales[[#This Row],[Revenue]]</f>
        <v>0.2</v>
      </c>
      <c r="R11" s="8">
        <f>tblSales[[#This Row],[Revenue]]*1.1</f>
        <v>687500</v>
      </c>
    </row>
    <row r="12" spans="1:18">
      <c r="A12" t="s">
        <v>67</v>
      </c>
      <c r="B12" s="7">
        <v>45312</v>
      </c>
      <c r="C12" t="s">
        <v>33</v>
      </c>
      <c r="D12" t="s">
        <v>34</v>
      </c>
      <c r="E12" t="s">
        <v>68</v>
      </c>
      <c r="F12" t="s">
        <v>36</v>
      </c>
      <c r="G12" t="s">
        <v>69</v>
      </c>
      <c r="H12">
        <v>300</v>
      </c>
      <c r="I12" s="8">
        <v>750000</v>
      </c>
      <c r="J12" s="8">
        <v>150000</v>
      </c>
      <c r="K12">
        <v>0</v>
      </c>
      <c r="L12" s="8">
        <v>40000</v>
      </c>
      <c r="M12" t="s">
        <v>38</v>
      </c>
      <c r="N12" s="11" t="str">
        <f>TEXT(tblSales[[#This Row],[Date]],"mmmm")</f>
        <v>January</v>
      </c>
      <c r="O12" s="11" t="str">
        <f>"Q"&amp;ROUNDUP(MONTH(tblSales[[#This Row],[Date]])/3,0)</f>
        <v>Q1</v>
      </c>
      <c r="P12" s="11">
        <f>YEAR(tblSales[[#This Row],[Date]])</f>
        <v>2024</v>
      </c>
      <c r="Q12" s="5">
        <f>tblSales[[#This Row],[Profit]]/tblSales[[#This Row],[Revenue]]</f>
        <v>0.2</v>
      </c>
      <c r="R12" s="8">
        <f>tblSales[[#This Row],[Revenue]]*1.1</f>
        <v>825000</v>
      </c>
    </row>
    <row r="13" spans="1:18">
      <c r="A13" t="s">
        <v>70</v>
      </c>
      <c r="B13" s="7">
        <v>45313</v>
      </c>
      <c r="C13" t="s">
        <v>26</v>
      </c>
      <c r="D13" t="s">
        <v>71</v>
      </c>
      <c r="E13" t="s">
        <v>72</v>
      </c>
      <c r="F13" t="s">
        <v>22</v>
      </c>
      <c r="G13" t="s">
        <v>73</v>
      </c>
      <c r="H13">
        <v>40</v>
      </c>
      <c r="I13" s="8">
        <v>400000</v>
      </c>
      <c r="J13" s="8">
        <v>80000</v>
      </c>
      <c r="K13">
        <v>0</v>
      </c>
      <c r="L13" s="8">
        <v>8000</v>
      </c>
      <c r="M13" t="s">
        <v>31</v>
      </c>
      <c r="N13" s="11" t="str">
        <f>TEXT(tblSales[[#This Row],[Date]],"mmmm")</f>
        <v>January</v>
      </c>
      <c r="O13" s="11" t="str">
        <f>"Q"&amp;ROUNDUP(MONTH(tblSales[[#This Row],[Date]])/3,0)</f>
        <v>Q1</v>
      </c>
      <c r="P13" s="11">
        <f>YEAR(tblSales[[#This Row],[Date]])</f>
        <v>2024</v>
      </c>
      <c r="Q13" s="5">
        <f>tblSales[[#This Row],[Profit]]/tblSales[[#This Row],[Revenue]]</f>
        <v>0.2</v>
      </c>
      <c r="R13" s="8">
        <f>tblSales[[#This Row],[Revenue]]*1.1</f>
        <v>440000</v>
      </c>
    </row>
    <row r="14" spans="1:18">
      <c r="A14" t="s">
        <v>74</v>
      </c>
      <c r="B14" s="7">
        <v>45313</v>
      </c>
      <c r="C14" t="s">
        <v>19</v>
      </c>
      <c r="D14" t="s">
        <v>50</v>
      </c>
      <c r="E14" t="s">
        <v>75</v>
      </c>
      <c r="F14" t="s">
        <v>29</v>
      </c>
      <c r="G14" t="s">
        <v>76</v>
      </c>
      <c r="H14">
        <v>60</v>
      </c>
      <c r="I14" s="8">
        <v>600000</v>
      </c>
      <c r="J14" s="8">
        <v>120000</v>
      </c>
      <c r="K14">
        <v>5</v>
      </c>
      <c r="L14" s="8">
        <v>18000</v>
      </c>
      <c r="M14" t="s">
        <v>24</v>
      </c>
      <c r="N14" s="11" t="str">
        <f>TEXT(tblSales[[#This Row],[Date]],"mmmm")</f>
        <v>January</v>
      </c>
      <c r="O14" s="11" t="str">
        <f>"Q"&amp;ROUNDUP(MONTH(tblSales[[#This Row],[Date]])/3,0)</f>
        <v>Q1</v>
      </c>
      <c r="P14" s="11">
        <f>YEAR(tblSales[[#This Row],[Date]])</f>
        <v>2024</v>
      </c>
      <c r="Q14" s="5">
        <f>tblSales[[#This Row],[Profit]]/tblSales[[#This Row],[Revenue]]</f>
        <v>0.2</v>
      </c>
      <c r="R14" s="8">
        <f>tblSales[[#This Row],[Revenue]]*1.1</f>
        <v>660000</v>
      </c>
    </row>
    <row r="15" spans="1:18">
      <c r="A15" t="s">
        <v>77</v>
      </c>
      <c r="B15" s="7">
        <v>45314</v>
      </c>
      <c r="C15" t="s">
        <v>40</v>
      </c>
      <c r="D15" t="s">
        <v>41</v>
      </c>
      <c r="E15" t="s">
        <v>78</v>
      </c>
      <c r="F15" t="s">
        <v>43</v>
      </c>
      <c r="G15" t="s">
        <v>79</v>
      </c>
      <c r="H15">
        <v>6</v>
      </c>
      <c r="I15" s="8">
        <v>450000</v>
      </c>
      <c r="J15" s="8">
        <v>67500</v>
      </c>
      <c r="K15">
        <v>10</v>
      </c>
      <c r="L15" s="8">
        <v>25000</v>
      </c>
      <c r="M15" t="s">
        <v>24</v>
      </c>
      <c r="N15" s="11" t="str">
        <f>TEXT(tblSales[[#This Row],[Date]],"mmmm")</f>
        <v>January</v>
      </c>
      <c r="O15" s="11" t="str">
        <f>"Q"&amp;ROUNDUP(MONTH(tblSales[[#This Row],[Date]])/3,0)</f>
        <v>Q1</v>
      </c>
      <c r="P15" s="11">
        <f>YEAR(tblSales[[#This Row],[Date]])</f>
        <v>2024</v>
      </c>
      <c r="Q15" s="5">
        <f>tblSales[[#This Row],[Profit]]/tblSales[[#This Row],[Revenue]]</f>
        <v>0.15</v>
      </c>
      <c r="R15" s="8">
        <f>tblSales[[#This Row],[Revenue]]*1.1</f>
        <v>495000</v>
      </c>
    </row>
    <row r="16" spans="1:18">
      <c r="A16" t="s">
        <v>80</v>
      </c>
      <c r="B16" s="7">
        <v>45314</v>
      </c>
      <c r="C16" t="s">
        <v>33</v>
      </c>
      <c r="D16" t="s">
        <v>54</v>
      </c>
      <c r="E16" t="s">
        <v>81</v>
      </c>
      <c r="F16" t="s">
        <v>36</v>
      </c>
      <c r="G16" t="s">
        <v>82</v>
      </c>
      <c r="H16">
        <v>180</v>
      </c>
      <c r="I16" s="8">
        <v>1080000</v>
      </c>
      <c r="J16" s="8">
        <v>216000</v>
      </c>
      <c r="K16">
        <v>0</v>
      </c>
      <c r="L16" s="8">
        <v>35000</v>
      </c>
      <c r="M16" t="s">
        <v>38</v>
      </c>
      <c r="N16" s="11" t="str">
        <f>TEXT(tblSales[[#This Row],[Date]],"mmmm")</f>
        <v>January</v>
      </c>
      <c r="O16" s="11" t="str">
        <f>"Q"&amp;ROUNDUP(MONTH(tblSales[[#This Row],[Date]])/3,0)</f>
        <v>Q1</v>
      </c>
      <c r="P16" s="11">
        <f>YEAR(tblSales[[#This Row],[Date]])</f>
        <v>2024</v>
      </c>
      <c r="Q16" s="5">
        <f>tblSales[[#This Row],[Profit]]/tblSales[[#This Row],[Revenue]]</f>
        <v>0.2</v>
      </c>
      <c r="R16" s="8">
        <f>tblSales[[#This Row],[Revenue]]*1.1</f>
        <v>1188000</v>
      </c>
    </row>
    <row r="17" spans="1:18">
      <c r="A17" t="s">
        <v>83</v>
      </c>
      <c r="B17" s="7">
        <v>45315</v>
      </c>
      <c r="C17" t="s">
        <v>26</v>
      </c>
      <c r="D17" t="s">
        <v>27</v>
      </c>
      <c r="E17" t="s">
        <v>84</v>
      </c>
      <c r="F17" t="s">
        <v>22</v>
      </c>
      <c r="G17" t="s">
        <v>85</v>
      </c>
      <c r="H17">
        <v>10</v>
      </c>
      <c r="I17" s="8">
        <v>1000000</v>
      </c>
      <c r="J17" s="8">
        <v>150000</v>
      </c>
      <c r="K17">
        <v>10</v>
      </c>
      <c r="L17" s="8">
        <v>20000</v>
      </c>
      <c r="M17" t="s">
        <v>24</v>
      </c>
      <c r="N17" s="11" t="str">
        <f>TEXT(tblSales[[#This Row],[Date]],"mmmm")</f>
        <v>January</v>
      </c>
      <c r="O17" s="11" t="str">
        <f>"Q"&amp;ROUNDUP(MONTH(tblSales[[#This Row],[Date]])/3,0)</f>
        <v>Q1</v>
      </c>
      <c r="P17" s="11">
        <f>YEAR(tblSales[[#This Row],[Date]])</f>
        <v>2024</v>
      </c>
      <c r="Q17" s="5">
        <f>tblSales[[#This Row],[Profit]]/tblSales[[#This Row],[Revenue]]</f>
        <v>0.15</v>
      </c>
      <c r="R17" s="8">
        <f>tblSales[[#This Row],[Revenue]]*1.1</f>
        <v>1100000</v>
      </c>
    </row>
    <row r="18" spans="1:18">
      <c r="A18" t="s">
        <v>86</v>
      </c>
      <c r="B18" s="7">
        <v>45316</v>
      </c>
      <c r="C18" t="s">
        <v>19</v>
      </c>
      <c r="D18" t="s">
        <v>20</v>
      </c>
      <c r="E18" t="s">
        <v>87</v>
      </c>
      <c r="F18" t="s">
        <v>29</v>
      </c>
      <c r="G18" t="s">
        <v>88</v>
      </c>
      <c r="H18">
        <v>15</v>
      </c>
      <c r="I18" s="8">
        <v>525000</v>
      </c>
      <c r="J18" s="8">
        <v>78750</v>
      </c>
      <c r="K18">
        <v>15</v>
      </c>
      <c r="L18" s="8">
        <v>22000</v>
      </c>
      <c r="M18" t="s">
        <v>31</v>
      </c>
      <c r="N18" s="11" t="str">
        <f>TEXT(tblSales[[#This Row],[Date]],"mmmm")</f>
        <v>January</v>
      </c>
      <c r="O18" s="11" t="str">
        <f>"Q"&amp;ROUNDUP(MONTH(tblSales[[#This Row],[Date]])/3,0)</f>
        <v>Q1</v>
      </c>
      <c r="P18" s="11">
        <f>YEAR(tblSales[[#This Row],[Date]])</f>
        <v>2024</v>
      </c>
      <c r="Q18" s="5">
        <f>tblSales[[#This Row],[Profit]]/tblSales[[#This Row],[Revenue]]</f>
        <v>0.15</v>
      </c>
      <c r="R18" s="8">
        <f>tblSales[[#This Row],[Revenue]]*1.1</f>
        <v>577500</v>
      </c>
    </row>
    <row r="19" spans="1:18">
      <c r="A19" t="s">
        <v>89</v>
      </c>
      <c r="B19" s="7">
        <v>45316</v>
      </c>
      <c r="C19" t="s">
        <v>33</v>
      </c>
      <c r="D19" t="s">
        <v>34</v>
      </c>
      <c r="E19" t="s">
        <v>90</v>
      </c>
      <c r="F19" t="s">
        <v>36</v>
      </c>
      <c r="G19" t="s">
        <v>91</v>
      </c>
      <c r="H19">
        <v>250</v>
      </c>
      <c r="I19" s="8">
        <v>625000</v>
      </c>
      <c r="J19" s="8">
        <v>125000</v>
      </c>
      <c r="K19">
        <v>0</v>
      </c>
      <c r="L19" s="8">
        <v>30000</v>
      </c>
      <c r="M19" t="s">
        <v>38</v>
      </c>
      <c r="N19" s="11" t="str">
        <f>TEXT(tblSales[[#This Row],[Date]],"mmmm")</f>
        <v>January</v>
      </c>
      <c r="O19" s="11" t="str">
        <f>"Q"&amp;ROUNDUP(MONTH(tblSales[[#This Row],[Date]])/3,0)</f>
        <v>Q1</v>
      </c>
      <c r="P19" s="11">
        <f>YEAR(tblSales[[#This Row],[Date]])</f>
        <v>2024</v>
      </c>
      <c r="Q19" s="5">
        <f>tblSales[[#This Row],[Profit]]/tblSales[[#This Row],[Revenue]]</f>
        <v>0.2</v>
      </c>
      <c r="R19" s="8">
        <f>tblSales[[#This Row],[Revenue]]*1.1</f>
        <v>687500</v>
      </c>
    </row>
    <row r="20" spans="1:18">
      <c r="A20" t="s">
        <v>92</v>
      </c>
      <c r="B20" s="7">
        <v>45317</v>
      </c>
      <c r="C20" t="s">
        <v>40</v>
      </c>
      <c r="D20" t="s">
        <v>93</v>
      </c>
      <c r="E20" t="s">
        <v>94</v>
      </c>
      <c r="F20" t="s">
        <v>43</v>
      </c>
      <c r="G20" t="s">
        <v>95</v>
      </c>
      <c r="H20">
        <v>3</v>
      </c>
      <c r="I20" s="8">
        <v>450000</v>
      </c>
      <c r="J20" s="8">
        <v>90000</v>
      </c>
      <c r="K20">
        <v>5</v>
      </c>
      <c r="L20" s="8">
        <v>35000</v>
      </c>
      <c r="M20" t="s">
        <v>24</v>
      </c>
      <c r="N20" s="11" t="str">
        <f>TEXT(tblSales[[#This Row],[Date]],"mmmm")</f>
        <v>January</v>
      </c>
      <c r="O20" s="11" t="str">
        <f>"Q"&amp;ROUNDUP(MONTH(tblSales[[#This Row],[Date]])/3,0)</f>
        <v>Q1</v>
      </c>
      <c r="P20" s="11">
        <f>YEAR(tblSales[[#This Row],[Date]])</f>
        <v>2024</v>
      </c>
      <c r="Q20" s="5">
        <f>tblSales[[#This Row],[Profit]]/tblSales[[#This Row],[Revenue]]</f>
        <v>0.2</v>
      </c>
      <c r="R20" s="8">
        <f>tblSales[[#This Row],[Revenue]]*1.1</f>
        <v>495000</v>
      </c>
    </row>
    <row r="21" spans="1:18">
      <c r="A21" t="s">
        <v>96</v>
      </c>
      <c r="B21" s="7">
        <v>45317</v>
      </c>
      <c r="C21" t="s">
        <v>26</v>
      </c>
      <c r="D21" t="s">
        <v>46</v>
      </c>
      <c r="E21" t="s">
        <v>97</v>
      </c>
      <c r="F21" t="s">
        <v>22</v>
      </c>
      <c r="G21" t="s">
        <v>98</v>
      </c>
      <c r="H21">
        <v>25</v>
      </c>
      <c r="I21" s="8">
        <v>625000</v>
      </c>
      <c r="J21" s="8">
        <v>125000</v>
      </c>
      <c r="K21">
        <v>0</v>
      </c>
      <c r="L21" s="8">
        <v>15000</v>
      </c>
      <c r="M21" t="s">
        <v>31</v>
      </c>
      <c r="N21" s="11" t="str">
        <f>TEXT(tblSales[[#This Row],[Date]],"mmmm")</f>
        <v>January</v>
      </c>
      <c r="O21" s="11" t="str">
        <f>"Q"&amp;ROUNDUP(MONTH(tblSales[[#This Row],[Date]])/3,0)</f>
        <v>Q1</v>
      </c>
      <c r="P21" s="11">
        <f>YEAR(tblSales[[#This Row],[Date]])</f>
        <v>2024</v>
      </c>
      <c r="Q21" s="5">
        <f>tblSales[[#This Row],[Profit]]/tblSales[[#This Row],[Revenue]]</f>
        <v>0.2</v>
      </c>
      <c r="R21" s="8">
        <f>tblSales[[#This Row],[Revenue]]*1.1</f>
        <v>687500</v>
      </c>
    </row>
    <row r="22" spans="1:18">
      <c r="A22" t="s">
        <v>99</v>
      </c>
      <c r="B22" s="7">
        <v>45318</v>
      </c>
      <c r="C22" t="s">
        <v>19</v>
      </c>
      <c r="D22" t="s">
        <v>100</v>
      </c>
      <c r="E22" t="s">
        <v>101</v>
      </c>
      <c r="F22" t="s">
        <v>29</v>
      </c>
      <c r="G22" t="s">
        <v>102</v>
      </c>
      <c r="H22">
        <v>80</v>
      </c>
      <c r="I22" s="8">
        <v>800000</v>
      </c>
      <c r="J22" s="8">
        <v>160000</v>
      </c>
      <c r="K22">
        <v>0</v>
      </c>
      <c r="L22" s="8">
        <v>25000</v>
      </c>
      <c r="M22" t="s">
        <v>24</v>
      </c>
      <c r="N22" s="11" t="str">
        <f>TEXT(tblSales[[#This Row],[Date]],"mmmm")</f>
        <v>January</v>
      </c>
      <c r="O22" s="11" t="str">
        <f>"Q"&amp;ROUNDUP(MONTH(tblSales[[#This Row],[Date]])/3,0)</f>
        <v>Q1</v>
      </c>
      <c r="P22" s="11">
        <f>YEAR(tblSales[[#This Row],[Date]])</f>
        <v>2024</v>
      </c>
      <c r="Q22" s="5">
        <f>tblSales[[#This Row],[Profit]]/tblSales[[#This Row],[Revenue]]</f>
        <v>0.2</v>
      </c>
      <c r="R22" s="8">
        <f>tblSales[[#This Row],[Revenue]]*1.1</f>
        <v>880000</v>
      </c>
    </row>
    <row r="23" spans="1:18">
      <c r="A23" t="s">
        <v>103</v>
      </c>
      <c r="B23" s="7">
        <v>45319</v>
      </c>
      <c r="C23" t="s">
        <v>33</v>
      </c>
      <c r="D23" t="s">
        <v>54</v>
      </c>
      <c r="E23" t="s">
        <v>104</v>
      </c>
      <c r="F23" t="s">
        <v>36</v>
      </c>
      <c r="G23" t="s">
        <v>105</v>
      </c>
      <c r="H23">
        <v>400</v>
      </c>
      <c r="I23" s="8">
        <v>1000000</v>
      </c>
      <c r="J23" s="8">
        <v>200000</v>
      </c>
      <c r="K23">
        <v>0</v>
      </c>
      <c r="L23" s="8">
        <v>55000</v>
      </c>
      <c r="M23" t="s">
        <v>38</v>
      </c>
      <c r="N23" s="11" t="str">
        <f>TEXT(tblSales[[#This Row],[Date]],"mmmm")</f>
        <v>January</v>
      </c>
      <c r="O23" s="11" t="str">
        <f>"Q"&amp;ROUNDUP(MONTH(tblSales[[#This Row],[Date]])/3,0)</f>
        <v>Q1</v>
      </c>
      <c r="P23" s="11">
        <f>YEAR(tblSales[[#This Row],[Date]])</f>
        <v>2024</v>
      </c>
      <c r="Q23" s="5">
        <f>tblSales[[#This Row],[Profit]]/tblSales[[#This Row],[Revenue]]</f>
        <v>0.2</v>
      </c>
      <c r="R23" s="8">
        <f>tblSales[[#This Row],[Revenue]]*1.1</f>
        <v>1100000</v>
      </c>
    </row>
    <row r="24" spans="1:18">
      <c r="A24" t="s">
        <v>106</v>
      </c>
      <c r="B24" s="7">
        <v>45319</v>
      </c>
      <c r="C24" t="s">
        <v>26</v>
      </c>
      <c r="D24" t="s">
        <v>27</v>
      </c>
      <c r="E24" t="s">
        <v>107</v>
      </c>
      <c r="F24" t="s">
        <v>43</v>
      </c>
      <c r="G24" t="s">
        <v>108</v>
      </c>
      <c r="H24">
        <v>7</v>
      </c>
      <c r="I24" s="8">
        <v>525000</v>
      </c>
      <c r="J24" s="8">
        <v>105000</v>
      </c>
      <c r="K24">
        <v>10</v>
      </c>
      <c r="L24" s="8">
        <v>20000</v>
      </c>
      <c r="M24" t="s">
        <v>24</v>
      </c>
      <c r="N24" s="11" t="str">
        <f>TEXT(tblSales[[#This Row],[Date]],"mmmm")</f>
        <v>January</v>
      </c>
      <c r="O24" s="11" t="str">
        <f>"Q"&amp;ROUNDUP(MONTH(tblSales[[#This Row],[Date]])/3,0)</f>
        <v>Q1</v>
      </c>
      <c r="P24" s="11">
        <f>YEAR(tblSales[[#This Row],[Date]])</f>
        <v>2024</v>
      </c>
      <c r="Q24" s="5">
        <f>tblSales[[#This Row],[Profit]]/tblSales[[#This Row],[Revenue]]</f>
        <v>0.2</v>
      </c>
      <c r="R24" s="8">
        <f>tblSales[[#This Row],[Revenue]]*1.1</f>
        <v>577500</v>
      </c>
    </row>
    <row r="25" spans="1:18">
      <c r="A25" t="s">
        <v>109</v>
      </c>
      <c r="B25" s="7">
        <v>45320</v>
      </c>
      <c r="C25" t="s">
        <v>40</v>
      </c>
      <c r="D25" t="s">
        <v>41</v>
      </c>
      <c r="E25" t="s">
        <v>110</v>
      </c>
      <c r="F25" t="s">
        <v>22</v>
      </c>
      <c r="G25" t="s">
        <v>111</v>
      </c>
      <c r="H25">
        <v>35</v>
      </c>
      <c r="I25" s="8">
        <v>525000</v>
      </c>
      <c r="J25" s="8">
        <v>78750</v>
      </c>
      <c r="K25">
        <v>15</v>
      </c>
      <c r="L25" s="8">
        <v>12000</v>
      </c>
      <c r="M25" t="s">
        <v>31</v>
      </c>
      <c r="N25" s="11" t="str">
        <f>TEXT(tblSales[[#This Row],[Date]],"mmmm")</f>
        <v>January</v>
      </c>
      <c r="O25" s="11" t="str">
        <f>"Q"&amp;ROUNDUP(MONTH(tblSales[[#This Row],[Date]])/3,0)</f>
        <v>Q1</v>
      </c>
      <c r="P25" s="11">
        <f>YEAR(tblSales[[#This Row],[Date]])</f>
        <v>2024</v>
      </c>
      <c r="Q25" s="5">
        <f>tblSales[[#This Row],[Profit]]/tblSales[[#This Row],[Revenue]]</f>
        <v>0.15</v>
      </c>
      <c r="R25" s="8">
        <f>tblSales[[#This Row],[Revenue]]*1.1</f>
        <v>577500</v>
      </c>
    </row>
    <row r="26" spans="1:18">
      <c r="A26" t="s">
        <v>112</v>
      </c>
      <c r="B26" s="7">
        <v>45321</v>
      </c>
      <c r="C26" t="s">
        <v>19</v>
      </c>
      <c r="D26" t="s">
        <v>113</v>
      </c>
      <c r="E26" t="s">
        <v>114</v>
      </c>
      <c r="F26" t="s">
        <v>29</v>
      </c>
      <c r="G26" t="s">
        <v>115</v>
      </c>
      <c r="H26">
        <v>55</v>
      </c>
      <c r="I26" s="8">
        <v>412500</v>
      </c>
      <c r="J26" s="8">
        <v>82500</v>
      </c>
      <c r="K26">
        <v>0</v>
      </c>
      <c r="L26" s="8">
        <v>20000</v>
      </c>
      <c r="M26" t="s">
        <v>24</v>
      </c>
      <c r="N26" s="11" t="str">
        <f>TEXT(tblSales[[#This Row],[Date]],"mmmm")</f>
        <v>January</v>
      </c>
      <c r="O26" s="11" t="str">
        <f>"Q"&amp;ROUNDUP(MONTH(tblSales[[#This Row],[Date]])/3,0)</f>
        <v>Q1</v>
      </c>
      <c r="P26" s="11">
        <f>YEAR(tblSales[[#This Row],[Date]])</f>
        <v>2024</v>
      </c>
      <c r="Q26" s="5">
        <f>tblSales[[#This Row],[Profit]]/tblSales[[#This Row],[Revenue]]</f>
        <v>0.2</v>
      </c>
      <c r="R26" s="8">
        <f>tblSales[[#This Row],[Revenue]]*1.1</f>
        <v>453750</v>
      </c>
    </row>
    <row r="27" spans="1:18">
      <c r="A27" t="s">
        <v>116</v>
      </c>
      <c r="B27" s="7">
        <v>45323</v>
      </c>
      <c r="C27" t="s">
        <v>33</v>
      </c>
      <c r="D27" t="s">
        <v>34</v>
      </c>
      <c r="E27" t="s">
        <v>117</v>
      </c>
      <c r="F27" t="s">
        <v>36</v>
      </c>
      <c r="G27" t="s">
        <v>118</v>
      </c>
      <c r="H27">
        <v>90</v>
      </c>
      <c r="I27" s="8">
        <v>1125000</v>
      </c>
      <c r="J27" s="8">
        <v>225000</v>
      </c>
      <c r="K27">
        <v>5</v>
      </c>
      <c r="L27" s="8">
        <v>28000</v>
      </c>
      <c r="M27" t="s">
        <v>38</v>
      </c>
      <c r="N27" s="11" t="str">
        <f>TEXT(tblSales[[#This Row],[Date]],"mmmm")</f>
        <v>February</v>
      </c>
      <c r="O27" s="11" t="str">
        <f>"Q"&amp;ROUNDUP(MONTH(tblSales[[#This Row],[Date]])/3,0)</f>
        <v>Q1</v>
      </c>
      <c r="P27" s="11">
        <f>YEAR(tblSales[[#This Row],[Date]])</f>
        <v>2024</v>
      </c>
      <c r="Q27" s="5">
        <f>tblSales[[#This Row],[Profit]]/tblSales[[#This Row],[Revenue]]</f>
        <v>0.2</v>
      </c>
      <c r="R27" s="8">
        <f>tblSales[[#This Row],[Revenue]]*1.1</f>
        <v>1237500</v>
      </c>
    </row>
    <row r="28" spans="1:18">
      <c r="A28" t="s">
        <v>119</v>
      </c>
      <c r="B28" s="7">
        <v>45324</v>
      </c>
      <c r="C28" t="s">
        <v>26</v>
      </c>
      <c r="D28" t="s">
        <v>27</v>
      </c>
      <c r="E28" t="s">
        <v>120</v>
      </c>
      <c r="F28" t="s">
        <v>22</v>
      </c>
      <c r="G28" t="s">
        <v>121</v>
      </c>
      <c r="H28">
        <v>4</v>
      </c>
      <c r="I28" s="8">
        <v>400000</v>
      </c>
      <c r="J28" s="8">
        <v>60000</v>
      </c>
      <c r="K28">
        <v>10</v>
      </c>
      <c r="L28" s="8">
        <v>18000</v>
      </c>
      <c r="M28" t="s">
        <v>24</v>
      </c>
      <c r="N28" s="11" t="str">
        <f>TEXT(tblSales[[#This Row],[Date]],"mmmm")</f>
        <v>February</v>
      </c>
      <c r="O28" s="11" t="str">
        <f>"Q"&amp;ROUNDUP(MONTH(tblSales[[#This Row],[Date]])/3,0)</f>
        <v>Q1</v>
      </c>
      <c r="P28" s="11">
        <f>YEAR(tblSales[[#This Row],[Date]])</f>
        <v>2024</v>
      </c>
      <c r="Q28" s="5">
        <f>tblSales[[#This Row],[Profit]]/tblSales[[#This Row],[Revenue]]</f>
        <v>0.15</v>
      </c>
      <c r="R28" s="8">
        <f>tblSales[[#This Row],[Revenue]]*1.1</f>
        <v>440000</v>
      </c>
    </row>
    <row r="29" spans="1:18">
      <c r="A29" t="s">
        <v>122</v>
      </c>
      <c r="B29" s="7">
        <v>45324</v>
      </c>
      <c r="C29" t="s">
        <v>19</v>
      </c>
      <c r="D29" t="s">
        <v>20</v>
      </c>
      <c r="E29" t="s">
        <v>123</v>
      </c>
      <c r="F29" t="s">
        <v>29</v>
      </c>
      <c r="G29" t="s">
        <v>124</v>
      </c>
      <c r="H29">
        <v>20</v>
      </c>
      <c r="I29" s="8">
        <v>500000</v>
      </c>
      <c r="J29" s="8">
        <v>100000</v>
      </c>
      <c r="K29">
        <v>0</v>
      </c>
      <c r="L29" s="8">
        <v>14000</v>
      </c>
      <c r="M29" t="s">
        <v>31</v>
      </c>
      <c r="N29" s="11" t="str">
        <f>TEXT(tblSales[[#This Row],[Date]],"mmmm")</f>
        <v>February</v>
      </c>
      <c r="O29" s="11" t="str">
        <f>"Q"&amp;ROUNDUP(MONTH(tblSales[[#This Row],[Date]])/3,0)</f>
        <v>Q1</v>
      </c>
      <c r="P29" s="11">
        <f>YEAR(tblSales[[#This Row],[Date]])</f>
        <v>2024</v>
      </c>
      <c r="Q29" s="5">
        <f>tblSales[[#This Row],[Profit]]/tblSales[[#This Row],[Revenue]]</f>
        <v>0.2</v>
      </c>
      <c r="R29" s="8">
        <f>tblSales[[#This Row],[Revenue]]*1.1</f>
        <v>550000</v>
      </c>
    </row>
    <row r="30" spans="1:18">
      <c r="A30" t="s">
        <v>125</v>
      </c>
      <c r="B30" s="7">
        <v>45325</v>
      </c>
      <c r="C30" t="s">
        <v>40</v>
      </c>
      <c r="D30" t="s">
        <v>126</v>
      </c>
      <c r="E30" t="s">
        <v>127</v>
      </c>
      <c r="F30" t="s">
        <v>43</v>
      </c>
      <c r="G30" t="s">
        <v>128</v>
      </c>
      <c r="H30">
        <v>2</v>
      </c>
      <c r="I30" s="8">
        <v>800000</v>
      </c>
      <c r="J30" s="8">
        <v>120000</v>
      </c>
      <c r="K30">
        <v>10</v>
      </c>
      <c r="L30" s="8">
        <v>50000</v>
      </c>
      <c r="M30" t="s">
        <v>24</v>
      </c>
      <c r="N30" s="11" t="str">
        <f>TEXT(tblSales[[#This Row],[Date]],"mmmm")</f>
        <v>February</v>
      </c>
      <c r="O30" s="11" t="str">
        <f>"Q"&amp;ROUNDUP(MONTH(tblSales[[#This Row],[Date]])/3,0)</f>
        <v>Q1</v>
      </c>
      <c r="P30" s="11">
        <f>YEAR(tblSales[[#This Row],[Date]])</f>
        <v>2024</v>
      </c>
      <c r="Q30" s="5">
        <f>tblSales[[#This Row],[Profit]]/tblSales[[#This Row],[Revenue]]</f>
        <v>0.15</v>
      </c>
      <c r="R30" s="8">
        <f>tblSales[[#This Row],[Revenue]]*1.1</f>
        <v>880000</v>
      </c>
    </row>
    <row r="31" spans="1:18">
      <c r="A31" t="s">
        <v>129</v>
      </c>
      <c r="B31" s="7">
        <v>45326</v>
      </c>
      <c r="C31" t="s">
        <v>33</v>
      </c>
      <c r="D31" t="s">
        <v>54</v>
      </c>
      <c r="E31" t="s">
        <v>130</v>
      </c>
      <c r="F31" t="s">
        <v>36</v>
      </c>
      <c r="G31" t="s">
        <v>131</v>
      </c>
      <c r="H31">
        <v>300</v>
      </c>
      <c r="I31" s="8">
        <v>900000</v>
      </c>
      <c r="J31" s="8">
        <v>180000</v>
      </c>
      <c r="K31">
        <v>0</v>
      </c>
      <c r="L31" s="8">
        <v>45000</v>
      </c>
      <c r="M31" t="s">
        <v>38</v>
      </c>
      <c r="N31" s="11" t="str">
        <f>TEXT(tblSales[[#This Row],[Date]],"mmmm")</f>
        <v>February</v>
      </c>
      <c r="O31" s="11" t="str">
        <f>"Q"&amp;ROUNDUP(MONTH(tblSales[[#This Row],[Date]])/3,0)</f>
        <v>Q1</v>
      </c>
      <c r="P31" s="11">
        <f>YEAR(tblSales[[#This Row],[Date]])</f>
        <v>2024</v>
      </c>
      <c r="Q31" s="5">
        <f>tblSales[[#This Row],[Profit]]/tblSales[[#This Row],[Revenue]]</f>
        <v>0.2</v>
      </c>
      <c r="R31" s="8">
        <f>tblSales[[#This Row],[Revenue]]*1.1</f>
        <v>990000</v>
      </c>
    </row>
    <row r="32" spans="1:18">
      <c r="A32" t="s">
        <v>132</v>
      </c>
      <c r="B32" s="7">
        <v>45326</v>
      </c>
      <c r="C32" t="s">
        <v>26</v>
      </c>
      <c r="D32" t="s">
        <v>46</v>
      </c>
      <c r="E32" t="s">
        <v>133</v>
      </c>
      <c r="F32" t="s">
        <v>22</v>
      </c>
      <c r="G32" t="s">
        <v>134</v>
      </c>
      <c r="H32">
        <v>100</v>
      </c>
      <c r="I32" s="8">
        <v>400000</v>
      </c>
      <c r="J32" s="8">
        <v>80000</v>
      </c>
      <c r="K32">
        <v>0</v>
      </c>
      <c r="L32" s="8">
        <v>10000</v>
      </c>
      <c r="M32" t="s">
        <v>31</v>
      </c>
      <c r="N32" s="11" t="str">
        <f>TEXT(tblSales[[#This Row],[Date]],"mmmm")</f>
        <v>February</v>
      </c>
      <c r="O32" s="11" t="str">
        <f>"Q"&amp;ROUNDUP(MONTH(tblSales[[#This Row],[Date]])/3,0)</f>
        <v>Q1</v>
      </c>
      <c r="P32" s="11">
        <f>YEAR(tblSales[[#This Row],[Date]])</f>
        <v>2024</v>
      </c>
      <c r="Q32" s="5">
        <f>tblSales[[#This Row],[Profit]]/tblSales[[#This Row],[Revenue]]</f>
        <v>0.2</v>
      </c>
      <c r="R32" s="8">
        <f>tblSales[[#This Row],[Revenue]]*1.1</f>
        <v>440000</v>
      </c>
    </row>
    <row r="33" spans="1:18">
      <c r="A33" t="s">
        <v>135</v>
      </c>
      <c r="B33" s="7">
        <v>45327</v>
      </c>
      <c r="C33" t="s">
        <v>19</v>
      </c>
      <c r="D33" t="s">
        <v>50</v>
      </c>
      <c r="E33" t="s">
        <v>136</v>
      </c>
      <c r="F33" t="s">
        <v>29</v>
      </c>
      <c r="G33" t="s">
        <v>137</v>
      </c>
      <c r="H33">
        <v>70</v>
      </c>
      <c r="I33" s="8">
        <v>280000</v>
      </c>
      <c r="J33" s="8">
        <v>56000</v>
      </c>
      <c r="K33">
        <v>0</v>
      </c>
      <c r="L33" s="8">
        <v>8000</v>
      </c>
      <c r="M33" t="s">
        <v>24</v>
      </c>
      <c r="N33" s="11" t="str">
        <f>TEXT(tblSales[[#This Row],[Date]],"mmmm")</f>
        <v>February</v>
      </c>
      <c r="O33" s="11" t="str">
        <f>"Q"&amp;ROUNDUP(MONTH(tblSales[[#This Row],[Date]])/3,0)</f>
        <v>Q1</v>
      </c>
      <c r="P33" s="11">
        <f>YEAR(tblSales[[#This Row],[Date]])</f>
        <v>2024</v>
      </c>
      <c r="Q33" s="5">
        <f>tblSales[[#This Row],[Profit]]/tblSales[[#This Row],[Revenue]]</f>
        <v>0.2</v>
      </c>
      <c r="R33" s="8">
        <f>tblSales[[#This Row],[Revenue]]*1.1</f>
        <v>308000</v>
      </c>
    </row>
    <row r="34" spans="1:18">
      <c r="A34" t="s">
        <v>138</v>
      </c>
      <c r="B34" s="7">
        <v>45328</v>
      </c>
      <c r="C34" t="s">
        <v>33</v>
      </c>
      <c r="D34" t="s">
        <v>34</v>
      </c>
      <c r="E34" t="s">
        <v>139</v>
      </c>
      <c r="F34" t="s">
        <v>36</v>
      </c>
      <c r="G34" t="s">
        <v>140</v>
      </c>
      <c r="H34">
        <v>150</v>
      </c>
      <c r="I34" s="8">
        <v>1500000</v>
      </c>
      <c r="J34" s="8">
        <v>300000</v>
      </c>
      <c r="K34">
        <v>0</v>
      </c>
      <c r="L34" s="8">
        <v>40000</v>
      </c>
      <c r="M34" t="s">
        <v>38</v>
      </c>
      <c r="N34" s="11" t="str">
        <f>TEXT(tblSales[[#This Row],[Date]],"mmmm")</f>
        <v>February</v>
      </c>
      <c r="O34" s="11" t="str">
        <f>"Q"&amp;ROUNDUP(MONTH(tblSales[[#This Row],[Date]])/3,0)</f>
        <v>Q1</v>
      </c>
      <c r="P34" s="11">
        <f>YEAR(tblSales[[#This Row],[Date]])</f>
        <v>2024</v>
      </c>
      <c r="Q34" s="5">
        <f>tblSales[[#This Row],[Profit]]/tblSales[[#This Row],[Revenue]]</f>
        <v>0.2</v>
      </c>
      <c r="R34" s="8">
        <f>tblSales[[#This Row],[Revenue]]*1.1</f>
        <v>1650000</v>
      </c>
    </row>
    <row r="35" spans="1:18">
      <c r="A35" t="s">
        <v>141</v>
      </c>
      <c r="B35" s="7">
        <v>45328</v>
      </c>
      <c r="C35" t="s">
        <v>26</v>
      </c>
      <c r="D35" t="s">
        <v>27</v>
      </c>
      <c r="E35" t="s">
        <v>142</v>
      </c>
      <c r="F35" t="s">
        <v>43</v>
      </c>
      <c r="G35" t="s">
        <v>143</v>
      </c>
      <c r="H35">
        <v>3</v>
      </c>
      <c r="I35" s="8">
        <v>750000</v>
      </c>
      <c r="J35" s="8">
        <v>112500</v>
      </c>
      <c r="K35">
        <v>15</v>
      </c>
      <c r="L35" s="8">
        <v>35000</v>
      </c>
      <c r="M35" t="s">
        <v>24</v>
      </c>
      <c r="N35" s="11" t="str">
        <f>TEXT(tblSales[[#This Row],[Date]],"mmmm")</f>
        <v>February</v>
      </c>
      <c r="O35" s="11" t="str">
        <f>"Q"&amp;ROUNDUP(MONTH(tblSales[[#This Row],[Date]])/3,0)</f>
        <v>Q1</v>
      </c>
      <c r="P35" s="11">
        <f>YEAR(tblSales[[#This Row],[Date]])</f>
        <v>2024</v>
      </c>
      <c r="Q35" s="5">
        <f>tblSales[[#This Row],[Profit]]/tblSales[[#This Row],[Revenue]]</f>
        <v>0.15</v>
      </c>
      <c r="R35" s="8">
        <f>tblSales[[#This Row],[Revenue]]*1.1</f>
        <v>825000</v>
      </c>
    </row>
    <row r="36" spans="1:18">
      <c r="A36" t="s">
        <v>144</v>
      </c>
      <c r="B36" s="7">
        <v>45329</v>
      </c>
      <c r="C36" t="s">
        <v>40</v>
      </c>
      <c r="D36" t="s">
        <v>41</v>
      </c>
      <c r="E36" t="s">
        <v>145</v>
      </c>
      <c r="F36" t="s">
        <v>22</v>
      </c>
      <c r="G36" t="s">
        <v>146</v>
      </c>
      <c r="H36">
        <v>6</v>
      </c>
      <c r="I36" s="8">
        <v>600000</v>
      </c>
      <c r="J36" s="8">
        <v>90000</v>
      </c>
      <c r="K36">
        <v>10</v>
      </c>
      <c r="L36" s="8">
        <v>22000</v>
      </c>
      <c r="M36" t="s">
        <v>31</v>
      </c>
      <c r="N36" s="11" t="str">
        <f>TEXT(tblSales[[#This Row],[Date]],"mmmm")</f>
        <v>February</v>
      </c>
      <c r="O36" s="11" t="str">
        <f>"Q"&amp;ROUNDUP(MONTH(tblSales[[#This Row],[Date]])/3,0)</f>
        <v>Q1</v>
      </c>
      <c r="P36" s="11">
        <f>YEAR(tblSales[[#This Row],[Date]])</f>
        <v>2024</v>
      </c>
      <c r="Q36" s="5">
        <f>tblSales[[#This Row],[Profit]]/tblSales[[#This Row],[Revenue]]</f>
        <v>0.15</v>
      </c>
      <c r="R36" s="8">
        <f>tblSales[[#This Row],[Revenue]]*1.1</f>
        <v>660000</v>
      </c>
    </row>
    <row r="37" spans="1:18">
      <c r="A37" t="s">
        <v>147</v>
      </c>
      <c r="B37" s="7">
        <v>45330</v>
      </c>
      <c r="C37" t="s">
        <v>19</v>
      </c>
      <c r="D37" t="s">
        <v>20</v>
      </c>
      <c r="E37" t="s">
        <v>148</v>
      </c>
      <c r="F37" t="s">
        <v>29</v>
      </c>
      <c r="G37" t="s">
        <v>149</v>
      </c>
      <c r="H37">
        <v>18</v>
      </c>
      <c r="I37" s="8">
        <v>630000</v>
      </c>
      <c r="J37" s="8">
        <v>126000</v>
      </c>
      <c r="K37">
        <v>0</v>
      </c>
      <c r="L37" s="8">
        <v>16000</v>
      </c>
      <c r="M37" t="s">
        <v>24</v>
      </c>
      <c r="N37" s="11" t="str">
        <f>TEXT(tblSales[[#This Row],[Date]],"mmmm")</f>
        <v>February</v>
      </c>
      <c r="O37" s="11" t="str">
        <f>"Q"&amp;ROUNDUP(MONTH(tblSales[[#This Row],[Date]])/3,0)</f>
        <v>Q1</v>
      </c>
      <c r="P37" s="11">
        <f>YEAR(tblSales[[#This Row],[Date]])</f>
        <v>2024</v>
      </c>
      <c r="Q37" s="5">
        <f>tblSales[[#This Row],[Profit]]/tblSales[[#This Row],[Revenue]]</f>
        <v>0.2</v>
      </c>
      <c r="R37" s="8">
        <f>tblSales[[#This Row],[Revenue]]*1.1</f>
        <v>693000</v>
      </c>
    </row>
    <row r="38" spans="1:18">
      <c r="A38" t="s">
        <v>150</v>
      </c>
      <c r="B38" s="7">
        <v>45330</v>
      </c>
      <c r="C38" t="s">
        <v>33</v>
      </c>
      <c r="D38" t="s">
        <v>54</v>
      </c>
      <c r="E38" t="s">
        <v>151</v>
      </c>
      <c r="F38" t="s">
        <v>36</v>
      </c>
      <c r="G38" t="s">
        <v>152</v>
      </c>
      <c r="H38">
        <v>120</v>
      </c>
      <c r="I38" s="8">
        <v>1080000</v>
      </c>
      <c r="J38" s="8">
        <v>216000</v>
      </c>
      <c r="K38">
        <v>0</v>
      </c>
      <c r="L38" s="8">
        <v>32000</v>
      </c>
      <c r="M38" t="s">
        <v>38</v>
      </c>
      <c r="N38" s="11" t="str">
        <f>TEXT(tblSales[[#This Row],[Date]],"mmmm")</f>
        <v>February</v>
      </c>
      <c r="O38" s="11" t="str">
        <f>"Q"&amp;ROUNDUP(MONTH(tblSales[[#This Row],[Date]])/3,0)</f>
        <v>Q1</v>
      </c>
      <c r="P38" s="11">
        <f>YEAR(tblSales[[#This Row],[Date]])</f>
        <v>2024</v>
      </c>
      <c r="Q38" s="5">
        <f>tblSales[[#This Row],[Profit]]/tblSales[[#This Row],[Revenue]]</f>
        <v>0.2</v>
      </c>
      <c r="R38" s="8">
        <f>tblSales[[#This Row],[Revenue]]*1.1</f>
        <v>1188000</v>
      </c>
    </row>
    <row r="39" spans="1:18">
      <c r="A39" t="s">
        <v>153</v>
      </c>
      <c r="B39" s="7">
        <v>45331</v>
      </c>
      <c r="C39" t="s">
        <v>26</v>
      </c>
      <c r="D39" t="s">
        <v>71</v>
      </c>
      <c r="E39" t="s">
        <v>154</v>
      </c>
      <c r="F39" t="s">
        <v>22</v>
      </c>
      <c r="G39" t="s">
        <v>155</v>
      </c>
      <c r="H39">
        <v>90</v>
      </c>
      <c r="I39" s="8">
        <v>360000</v>
      </c>
      <c r="J39" s="8">
        <v>72000</v>
      </c>
      <c r="K39">
        <v>0</v>
      </c>
      <c r="L39" s="8">
        <v>8000</v>
      </c>
      <c r="M39" t="s">
        <v>24</v>
      </c>
      <c r="N39" s="11" t="str">
        <f>TEXT(tblSales[[#This Row],[Date]],"mmmm")</f>
        <v>February</v>
      </c>
      <c r="O39" s="11" t="str">
        <f>"Q"&amp;ROUNDUP(MONTH(tblSales[[#This Row],[Date]])/3,0)</f>
        <v>Q1</v>
      </c>
      <c r="P39" s="11">
        <f>YEAR(tblSales[[#This Row],[Date]])</f>
        <v>2024</v>
      </c>
      <c r="Q39" s="5">
        <f>tblSales[[#This Row],[Profit]]/tblSales[[#This Row],[Revenue]]</f>
        <v>0.2</v>
      </c>
      <c r="R39" s="8">
        <f>tblSales[[#This Row],[Revenue]]*1.1</f>
        <v>396000</v>
      </c>
    </row>
    <row r="40" spans="1:18">
      <c r="A40" t="s">
        <v>156</v>
      </c>
      <c r="B40" s="7">
        <v>45332</v>
      </c>
      <c r="C40" t="s">
        <v>40</v>
      </c>
      <c r="D40" t="s">
        <v>93</v>
      </c>
      <c r="E40" t="s">
        <v>157</v>
      </c>
      <c r="F40" t="s">
        <v>43</v>
      </c>
      <c r="G40" t="s">
        <v>158</v>
      </c>
      <c r="H40">
        <v>5</v>
      </c>
      <c r="I40" s="8">
        <v>250000</v>
      </c>
      <c r="J40" s="8">
        <v>37500</v>
      </c>
      <c r="K40">
        <v>10</v>
      </c>
      <c r="L40" s="8">
        <v>15000</v>
      </c>
      <c r="M40" t="s">
        <v>31</v>
      </c>
      <c r="N40" s="11" t="str">
        <f>TEXT(tblSales[[#This Row],[Date]],"mmmm")</f>
        <v>February</v>
      </c>
      <c r="O40" s="11" t="str">
        <f>"Q"&amp;ROUNDUP(MONTH(tblSales[[#This Row],[Date]])/3,0)</f>
        <v>Q1</v>
      </c>
      <c r="P40" s="11">
        <f>YEAR(tblSales[[#This Row],[Date]])</f>
        <v>2024</v>
      </c>
      <c r="Q40" s="5">
        <f>tblSales[[#This Row],[Profit]]/tblSales[[#This Row],[Revenue]]</f>
        <v>0.15</v>
      </c>
      <c r="R40" s="8">
        <f>tblSales[[#This Row],[Revenue]]*1.1</f>
        <v>275000</v>
      </c>
    </row>
    <row r="41" spans="1:18">
      <c r="A41" t="s">
        <v>159</v>
      </c>
      <c r="B41" s="7">
        <v>45332</v>
      </c>
      <c r="C41" t="s">
        <v>33</v>
      </c>
      <c r="D41" t="s">
        <v>34</v>
      </c>
      <c r="E41" t="s">
        <v>160</v>
      </c>
      <c r="F41" t="s">
        <v>36</v>
      </c>
      <c r="G41" t="s">
        <v>161</v>
      </c>
      <c r="H41">
        <v>400</v>
      </c>
      <c r="I41" s="8">
        <v>1000000</v>
      </c>
      <c r="J41" s="8">
        <v>200000</v>
      </c>
      <c r="K41">
        <v>0</v>
      </c>
      <c r="L41" s="8">
        <v>50000</v>
      </c>
      <c r="M41" t="s">
        <v>38</v>
      </c>
      <c r="N41" s="11" t="str">
        <f>TEXT(tblSales[[#This Row],[Date]],"mmmm")</f>
        <v>February</v>
      </c>
      <c r="O41" s="11" t="str">
        <f>"Q"&amp;ROUNDUP(MONTH(tblSales[[#This Row],[Date]])/3,0)</f>
        <v>Q1</v>
      </c>
      <c r="P41" s="11">
        <f>YEAR(tblSales[[#This Row],[Date]])</f>
        <v>2024</v>
      </c>
      <c r="Q41" s="5">
        <f>tblSales[[#This Row],[Profit]]/tblSales[[#This Row],[Revenue]]</f>
        <v>0.2</v>
      </c>
      <c r="R41" s="8">
        <f>tblSales[[#This Row],[Revenue]]*1.1</f>
        <v>1100000</v>
      </c>
    </row>
    <row r="42" spans="1:18">
      <c r="A42" t="s">
        <v>162</v>
      </c>
      <c r="B42" s="7">
        <v>45333</v>
      </c>
      <c r="C42" t="s">
        <v>26</v>
      </c>
      <c r="D42" t="s">
        <v>27</v>
      </c>
      <c r="E42" t="s">
        <v>163</v>
      </c>
      <c r="F42" t="s">
        <v>29</v>
      </c>
      <c r="G42" t="s">
        <v>164</v>
      </c>
      <c r="H42">
        <v>40</v>
      </c>
      <c r="I42" s="8">
        <v>600000</v>
      </c>
      <c r="J42" s="8">
        <v>120000</v>
      </c>
      <c r="K42">
        <v>0</v>
      </c>
      <c r="L42" s="8">
        <v>18000</v>
      </c>
      <c r="M42" t="s">
        <v>24</v>
      </c>
      <c r="N42" s="11" t="str">
        <f>TEXT(tblSales[[#This Row],[Date]],"mmmm")</f>
        <v>February</v>
      </c>
      <c r="O42" s="11" t="str">
        <f>"Q"&amp;ROUNDUP(MONTH(tblSales[[#This Row],[Date]])/3,0)</f>
        <v>Q1</v>
      </c>
      <c r="P42" s="11">
        <f>YEAR(tblSales[[#This Row],[Date]])</f>
        <v>2024</v>
      </c>
      <c r="Q42" s="5">
        <f>tblSales[[#This Row],[Profit]]/tblSales[[#This Row],[Revenue]]</f>
        <v>0.2</v>
      </c>
      <c r="R42" s="8">
        <f>tblSales[[#This Row],[Revenue]]*1.1</f>
        <v>660000</v>
      </c>
    </row>
    <row r="43" spans="1:18">
      <c r="A43" t="s">
        <v>165</v>
      </c>
      <c r="B43" s="7">
        <v>45334</v>
      </c>
      <c r="C43" t="s">
        <v>19</v>
      </c>
      <c r="D43" t="s">
        <v>20</v>
      </c>
      <c r="E43" t="s">
        <v>166</v>
      </c>
      <c r="F43" t="s">
        <v>22</v>
      </c>
      <c r="G43" t="s">
        <v>167</v>
      </c>
      <c r="H43">
        <v>15</v>
      </c>
      <c r="I43" s="8">
        <v>450000</v>
      </c>
      <c r="J43" s="8">
        <v>90000</v>
      </c>
      <c r="K43">
        <v>5</v>
      </c>
      <c r="L43" s="8">
        <v>12000</v>
      </c>
      <c r="M43" t="s">
        <v>31</v>
      </c>
      <c r="N43" s="11" t="str">
        <f>TEXT(tblSales[[#This Row],[Date]],"mmmm")</f>
        <v>February</v>
      </c>
      <c r="O43" s="11" t="str">
        <f>"Q"&amp;ROUNDUP(MONTH(tblSales[[#This Row],[Date]])/3,0)</f>
        <v>Q1</v>
      </c>
      <c r="P43" s="11">
        <f>YEAR(tblSales[[#This Row],[Date]])</f>
        <v>2024</v>
      </c>
      <c r="Q43" s="5">
        <f>tblSales[[#This Row],[Profit]]/tblSales[[#This Row],[Revenue]]</f>
        <v>0.2</v>
      </c>
      <c r="R43" s="8">
        <f>tblSales[[#This Row],[Revenue]]*1.1</f>
        <v>495000</v>
      </c>
    </row>
    <row r="44" spans="1:18">
      <c r="A44" t="s">
        <v>168</v>
      </c>
      <c r="B44" s="7">
        <v>45334</v>
      </c>
      <c r="C44" t="s">
        <v>33</v>
      </c>
      <c r="D44" t="s">
        <v>54</v>
      </c>
      <c r="E44" t="s">
        <v>169</v>
      </c>
      <c r="F44" t="s">
        <v>36</v>
      </c>
      <c r="G44" t="s">
        <v>170</v>
      </c>
      <c r="H44">
        <v>500</v>
      </c>
      <c r="I44" s="8">
        <v>500000</v>
      </c>
      <c r="J44" s="8">
        <v>100000</v>
      </c>
      <c r="K44">
        <v>0</v>
      </c>
      <c r="L44" s="8">
        <v>60000</v>
      </c>
      <c r="M44" t="s">
        <v>38</v>
      </c>
      <c r="N44" s="11" t="str">
        <f>TEXT(tblSales[[#This Row],[Date]],"mmmm")</f>
        <v>February</v>
      </c>
      <c r="O44" s="11" t="str">
        <f>"Q"&amp;ROUNDUP(MONTH(tblSales[[#This Row],[Date]])/3,0)</f>
        <v>Q1</v>
      </c>
      <c r="P44" s="11">
        <f>YEAR(tblSales[[#This Row],[Date]])</f>
        <v>2024</v>
      </c>
      <c r="Q44" s="5">
        <f>tblSales[[#This Row],[Profit]]/tblSales[[#This Row],[Revenue]]</f>
        <v>0.2</v>
      </c>
      <c r="R44" s="8">
        <f>tblSales[[#This Row],[Revenue]]*1.1</f>
        <v>550000</v>
      </c>
    </row>
    <row r="45" spans="1:18">
      <c r="A45" t="s">
        <v>171</v>
      </c>
      <c r="B45" s="7">
        <v>45335</v>
      </c>
      <c r="C45" t="s">
        <v>40</v>
      </c>
      <c r="D45" t="s">
        <v>61</v>
      </c>
      <c r="E45" t="s">
        <v>172</v>
      </c>
      <c r="F45" t="s">
        <v>43</v>
      </c>
      <c r="G45" t="s">
        <v>173</v>
      </c>
      <c r="H45">
        <v>8</v>
      </c>
      <c r="I45" s="8">
        <v>320000</v>
      </c>
      <c r="J45" s="8">
        <v>48000</v>
      </c>
      <c r="K45">
        <v>15</v>
      </c>
      <c r="L45" s="8">
        <v>20000</v>
      </c>
      <c r="M45" t="s">
        <v>24</v>
      </c>
      <c r="N45" s="11" t="str">
        <f>TEXT(tblSales[[#This Row],[Date]],"mmmm")</f>
        <v>February</v>
      </c>
      <c r="O45" s="11" t="str">
        <f>"Q"&amp;ROUNDUP(MONTH(tblSales[[#This Row],[Date]])/3,0)</f>
        <v>Q1</v>
      </c>
      <c r="P45" s="11">
        <f>YEAR(tblSales[[#This Row],[Date]])</f>
        <v>2024</v>
      </c>
      <c r="Q45" s="5">
        <f>tblSales[[#This Row],[Profit]]/tblSales[[#This Row],[Revenue]]</f>
        <v>0.15</v>
      </c>
      <c r="R45" s="8">
        <f>tblSales[[#This Row],[Revenue]]*1.1</f>
        <v>352000</v>
      </c>
    </row>
    <row r="46" spans="1:18">
      <c r="A46" t="s">
        <v>174</v>
      </c>
      <c r="B46" s="7">
        <v>45336</v>
      </c>
      <c r="C46" t="s">
        <v>26</v>
      </c>
      <c r="D46" t="s">
        <v>46</v>
      </c>
      <c r="E46" t="s">
        <v>175</v>
      </c>
      <c r="F46" t="s">
        <v>22</v>
      </c>
      <c r="G46" t="s">
        <v>176</v>
      </c>
      <c r="H46">
        <v>200</v>
      </c>
      <c r="I46" s="8">
        <v>500000</v>
      </c>
      <c r="J46" s="8">
        <v>100000</v>
      </c>
      <c r="K46">
        <v>0</v>
      </c>
      <c r="L46" s="8">
        <v>15000</v>
      </c>
      <c r="M46" t="s">
        <v>24</v>
      </c>
      <c r="N46" s="11" t="str">
        <f>TEXT(tblSales[[#This Row],[Date]],"mmmm")</f>
        <v>February</v>
      </c>
      <c r="O46" s="11" t="str">
        <f>"Q"&amp;ROUNDUP(MONTH(tblSales[[#This Row],[Date]])/3,0)</f>
        <v>Q1</v>
      </c>
      <c r="P46" s="11">
        <f>YEAR(tblSales[[#This Row],[Date]])</f>
        <v>2024</v>
      </c>
      <c r="Q46" s="5">
        <f>tblSales[[#This Row],[Profit]]/tblSales[[#This Row],[Revenue]]</f>
        <v>0.2</v>
      </c>
      <c r="R46" s="8">
        <f>tblSales[[#This Row],[Revenue]]*1.1</f>
        <v>550000</v>
      </c>
    </row>
    <row r="47" spans="1:18">
      <c r="A47" t="s">
        <v>177</v>
      </c>
      <c r="B47" s="7">
        <v>45336</v>
      </c>
      <c r="C47" t="s">
        <v>19</v>
      </c>
      <c r="D47" t="s">
        <v>100</v>
      </c>
      <c r="E47" t="s">
        <v>178</v>
      </c>
      <c r="F47" t="s">
        <v>29</v>
      </c>
      <c r="G47" t="s">
        <v>179</v>
      </c>
      <c r="H47">
        <v>6</v>
      </c>
      <c r="I47" s="8">
        <v>450000</v>
      </c>
      <c r="J47" s="8">
        <v>90000</v>
      </c>
      <c r="K47">
        <v>0</v>
      </c>
      <c r="L47" s="8">
        <v>10000</v>
      </c>
      <c r="M47" t="s">
        <v>31</v>
      </c>
      <c r="N47" s="11" t="str">
        <f>TEXT(tblSales[[#This Row],[Date]],"mmmm")</f>
        <v>February</v>
      </c>
      <c r="O47" s="11" t="str">
        <f>"Q"&amp;ROUNDUP(MONTH(tblSales[[#This Row],[Date]])/3,0)</f>
        <v>Q1</v>
      </c>
      <c r="P47" s="11">
        <f>YEAR(tblSales[[#This Row],[Date]])</f>
        <v>2024</v>
      </c>
      <c r="Q47" s="5">
        <f>tblSales[[#This Row],[Profit]]/tblSales[[#This Row],[Revenue]]</f>
        <v>0.2</v>
      </c>
      <c r="R47" s="8">
        <f>tblSales[[#This Row],[Revenue]]*1.1</f>
        <v>495000</v>
      </c>
    </row>
    <row r="48" spans="1:18">
      <c r="A48" t="s">
        <v>180</v>
      </c>
      <c r="B48" s="7">
        <v>45337</v>
      </c>
      <c r="C48" t="s">
        <v>33</v>
      </c>
      <c r="D48" t="s">
        <v>34</v>
      </c>
      <c r="E48" t="s">
        <v>181</v>
      </c>
      <c r="F48" t="s">
        <v>36</v>
      </c>
      <c r="G48" t="s">
        <v>182</v>
      </c>
      <c r="H48">
        <v>110</v>
      </c>
      <c r="I48" s="8">
        <v>660000</v>
      </c>
      <c r="J48" s="8">
        <v>132000</v>
      </c>
      <c r="K48">
        <v>0</v>
      </c>
      <c r="L48" s="8">
        <v>22000</v>
      </c>
      <c r="M48" t="s">
        <v>38</v>
      </c>
      <c r="N48" s="11" t="str">
        <f>TEXT(tblSales[[#This Row],[Date]],"mmmm")</f>
        <v>February</v>
      </c>
      <c r="O48" s="11" t="str">
        <f>"Q"&amp;ROUNDUP(MONTH(tblSales[[#This Row],[Date]])/3,0)</f>
        <v>Q1</v>
      </c>
      <c r="P48" s="11">
        <f>YEAR(tblSales[[#This Row],[Date]])</f>
        <v>2024</v>
      </c>
      <c r="Q48" s="5">
        <f>tblSales[[#This Row],[Profit]]/tblSales[[#This Row],[Revenue]]</f>
        <v>0.2</v>
      </c>
      <c r="R48" s="8">
        <f>tblSales[[#This Row],[Revenue]]*1.1</f>
        <v>726000</v>
      </c>
    </row>
    <row r="49" spans="1:18">
      <c r="A49" t="s">
        <v>183</v>
      </c>
      <c r="B49" s="7">
        <v>45338</v>
      </c>
      <c r="C49" t="s">
        <v>26</v>
      </c>
      <c r="D49" t="s">
        <v>27</v>
      </c>
      <c r="E49" t="s">
        <v>184</v>
      </c>
      <c r="F49" t="s">
        <v>22</v>
      </c>
      <c r="G49" t="s">
        <v>185</v>
      </c>
      <c r="H49">
        <v>3</v>
      </c>
      <c r="I49" s="8">
        <v>1200000</v>
      </c>
      <c r="J49" s="8">
        <v>180000</v>
      </c>
      <c r="K49">
        <v>10</v>
      </c>
      <c r="L49" s="8">
        <v>30000</v>
      </c>
      <c r="M49" t="s">
        <v>24</v>
      </c>
      <c r="N49" s="11" t="str">
        <f>TEXT(tblSales[[#This Row],[Date]],"mmmm")</f>
        <v>February</v>
      </c>
      <c r="O49" s="11" t="str">
        <f>"Q"&amp;ROUNDUP(MONTH(tblSales[[#This Row],[Date]])/3,0)</f>
        <v>Q1</v>
      </c>
      <c r="P49" s="11">
        <f>YEAR(tblSales[[#This Row],[Date]])</f>
        <v>2024</v>
      </c>
      <c r="Q49" s="5">
        <f>tblSales[[#This Row],[Profit]]/tblSales[[#This Row],[Revenue]]</f>
        <v>0.15</v>
      </c>
      <c r="R49" s="8">
        <f>tblSales[[#This Row],[Revenue]]*1.1</f>
        <v>1320000</v>
      </c>
    </row>
    <row r="50" spans="1:18">
      <c r="A50" t="s">
        <v>186</v>
      </c>
      <c r="B50" s="7">
        <v>45338</v>
      </c>
      <c r="C50" t="s">
        <v>40</v>
      </c>
      <c r="D50" t="s">
        <v>41</v>
      </c>
      <c r="E50" t="s">
        <v>187</v>
      </c>
      <c r="F50" t="s">
        <v>43</v>
      </c>
      <c r="G50" t="s">
        <v>188</v>
      </c>
      <c r="H50">
        <v>4</v>
      </c>
      <c r="I50" s="8">
        <v>400000</v>
      </c>
      <c r="J50" s="8">
        <v>60000</v>
      </c>
      <c r="K50">
        <v>5</v>
      </c>
      <c r="L50" s="8">
        <v>25000</v>
      </c>
      <c r="M50" t="s">
        <v>31</v>
      </c>
      <c r="N50" s="11" t="str">
        <f>TEXT(tblSales[[#This Row],[Date]],"mmmm")</f>
        <v>February</v>
      </c>
      <c r="O50" s="11" t="str">
        <f>"Q"&amp;ROUNDUP(MONTH(tblSales[[#This Row],[Date]])/3,0)</f>
        <v>Q1</v>
      </c>
      <c r="P50" s="11">
        <f>YEAR(tblSales[[#This Row],[Date]])</f>
        <v>2024</v>
      </c>
      <c r="Q50" s="5">
        <f>tblSales[[#This Row],[Profit]]/tblSales[[#This Row],[Revenue]]</f>
        <v>0.15</v>
      </c>
      <c r="R50" s="8">
        <f>tblSales[[#This Row],[Revenue]]*1.1</f>
        <v>440000</v>
      </c>
    </row>
    <row r="51" spans="1:18">
      <c r="A51" t="s">
        <v>189</v>
      </c>
      <c r="B51" s="7">
        <v>45339</v>
      </c>
      <c r="C51" t="s">
        <v>19</v>
      </c>
      <c r="D51" t="s">
        <v>50</v>
      </c>
      <c r="E51" t="s">
        <v>190</v>
      </c>
      <c r="F51" t="s">
        <v>29</v>
      </c>
      <c r="G51" t="s">
        <v>191</v>
      </c>
      <c r="H51">
        <v>120</v>
      </c>
      <c r="I51" s="8">
        <v>180000</v>
      </c>
      <c r="J51" s="8">
        <v>36000</v>
      </c>
      <c r="K51">
        <v>0</v>
      </c>
      <c r="L51" s="8">
        <v>10000</v>
      </c>
      <c r="M51" t="s">
        <v>24</v>
      </c>
      <c r="N51" s="11" t="str">
        <f>TEXT(tblSales[[#This Row],[Date]],"mmmm")</f>
        <v>February</v>
      </c>
      <c r="O51" s="11" t="str">
        <f>"Q"&amp;ROUNDUP(MONTH(tblSales[[#This Row],[Date]])/3,0)</f>
        <v>Q1</v>
      </c>
      <c r="P51" s="11">
        <f>YEAR(tblSales[[#This Row],[Date]])</f>
        <v>2024</v>
      </c>
      <c r="Q51" s="5">
        <f>tblSales[[#This Row],[Profit]]/tblSales[[#This Row],[Revenue]]</f>
        <v>0.2</v>
      </c>
      <c r="R51" s="8">
        <f>tblSales[[#This Row],[Revenue]]*1.1</f>
        <v>198000</v>
      </c>
    </row>
    <row r="52" spans="1:18">
      <c r="A52" t="s">
        <v>192</v>
      </c>
      <c r="B52" s="7">
        <v>45340</v>
      </c>
      <c r="C52" t="s">
        <v>33</v>
      </c>
      <c r="D52" t="s">
        <v>54</v>
      </c>
      <c r="E52" t="s">
        <v>193</v>
      </c>
      <c r="F52" t="s">
        <v>36</v>
      </c>
      <c r="G52" t="s">
        <v>194</v>
      </c>
      <c r="H52">
        <v>250</v>
      </c>
      <c r="I52" s="8">
        <v>625000</v>
      </c>
      <c r="J52" s="8">
        <v>125000</v>
      </c>
      <c r="K52">
        <v>0</v>
      </c>
      <c r="L52" s="8">
        <v>35000</v>
      </c>
      <c r="M52" t="s">
        <v>38</v>
      </c>
      <c r="N52" s="11" t="str">
        <f>TEXT(tblSales[[#This Row],[Date]],"mmmm")</f>
        <v>February</v>
      </c>
      <c r="O52" s="11" t="str">
        <f>"Q"&amp;ROUNDUP(MONTH(tblSales[[#This Row],[Date]])/3,0)</f>
        <v>Q1</v>
      </c>
      <c r="P52" s="11">
        <f>YEAR(tblSales[[#This Row],[Date]])</f>
        <v>2024</v>
      </c>
      <c r="Q52" s="5">
        <f>tblSales[[#This Row],[Profit]]/tblSales[[#This Row],[Revenue]]</f>
        <v>0.2</v>
      </c>
      <c r="R52" s="8">
        <f>tblSales[[#This Row],[Revenue]]*1.1</f>
        <v>687500</v>
      </c>
    </row>
    <row r="53" spans="1:18">
      <c r="A53" t="s">
        <v>195</v>
      </c>
      <c r="B53" s="7">
        <v>45340</v>
      </c>
      <c r="C53" t="s">
        <v>26</v>
      </c>
      <c r="D53" t="s">
        <v>71</v>
      </c>
      <c r="E53" t="s">
        <v>196</v>
      </c>
      <c r="F53" t="s">
        <v>22</v>
      </c>
      <c r="G53" t="s">
        <v>197</v>
      </c>
      <c r="H53">
        <v>20</v>
      </c>
      <c r="I53" s="8">
        <v>400000</v>
      </c>
      <c r="J53" s="8">
        <v>80000</v>
      </c>
      <c r="K53">
        <v>0</v>
      </c>
      <c r="L53" s="8">
        <v>12000</v>
      </c>
      <c r="M53" t="s">
        <v>24</v>
      </c>
      <c r="N53" s="11" t="str">
        <f>TEXT(tblSales[[#This Row],[Date]],"mmmm")</f>
        <v>February</v>
      </c>
      <c r="O53" s="11" t="str">
        <f>"Q"&amp;ROUNDUP(MONTH(tblSales[[#This Row],[Date]])/3,0)</f>
        <v>Q1</v>
      </c>
      <c r="P53" s="11">
        <f>YEAR(tblSales[[#This Row],[Date]])</f>
        <v>2024</v>
      </c>
      <c r="Q53" s="5">
        <f>tblSales[[#This Row],[Profit]]/tblSales[[#This Row],[Revenue]]</f>
        <v>0.2</v>
      </c>
      <c r="R53" s="8">
        <f>tblSales[[#This Row],[Revenue]]*1.1</f>
        <v>440000</v>
      </c>
    </row>
    <row r="54" spans="1:18">
      <c r="A54" t="s">
        <v>198</v>
      </c>
      <c r="B54" s="7">
        <v>45341</v>
      </c>
      <c r="C54" t="s">
        <v>40</v>
      </c>
      <c r="D54" t="s">
        <v>126</v>
      </c>
      <c r="E54" t="s">
        <v>199</v>
      </c>
      <c r="F54" t="s">
        <v>29</v>
      </c>
      <c r="G54" t="s">
        <v>200</v>
      </c>
      <c r="H54">
        <v>35</v>
      </c>
      <c r="I54" s="8">
        <v>437500</v>
      </c>
      <c r="J54" s="8">
        <v>87500</v>
      </c>
      <c r="K54">
        <v>0</v>
      </c>
      <c r="L54" s="8">
        <v>14000</v>
      </c>
      <c r="M54" t="s">
        <v>31</v>
      </c>
      <c r="N54" s="11" t="str">
        <f>TEXT(tblSales[[#This Row],[Date]],"mmmm")</f>
        <v>February</v>
      </c>
      <c r="O54" s="11" t="str">
        <f>"Q"&amp;ROUNDUP(MONTH(tblSales[[#This Row],[Date]])/3,0)</f>
        <v>Q1</v>
      </c>
      <c r="P54" s="11">
        <f>YEAR(tblSales[[#This Row],[Date]])</f>
        <v>2024</v>
      </c>
      <c r="Q54" s="5">
        <f>tblSales[[#This Row],[Profit]]/tblSales[[#This Row],[Revenue]]</f>
        <v>0.2</v>
      </c>
      <c r="R54" s="8">
        <f>tblSales[[#This Row],[Revenue]]*1.1</f>
        <v>481250</v>
      </c>
    </row>
    <row r="55" spans="1:18">
      <c r="A55" t="s">
        <v>201</v>
      </c>
      <c r="B55" s="7">
        <v>45342</v>
      </c>
      <c r="C55" t="s">
        <v>19</v>
      </c>
      <c r="D55" t="s">
        <v>20</v>
      </c>
      <c r="E55" t="s">
        <v>202</v>
      </c>
      <c r="F55" t="s">
        <v>43</v>
      </c>
      <c r="G55" t="s">
        <v>79</v>
      </c>
      <c r="H55">
        <v>5</v>
      </c>
      <c r="I55" s="8">
        <v>225000</v>
      </c>
      <c r="J55" s="8">
        <v>33750</v>
      </c>
      <c r="K55">
        <v>10</v>
      </c>
      <c r="L55" s="8">
        <v>18000</v>
      </c>
      <c r="M55" t="s">
        <v>24</v>
      </c>
      <c r="N55" s="11" t="str">
        <f>TEXT(tblSales[[#This Row],[Date]],"mmmm")</f>
        <v>February</v>
      </c>
      <c r="O55" s="11" t="str">
        <f>"Q"&amp;ROUNDUP(MONTH(tblSales[[#This Row],[Date]])/3,0)</f>
        <v>Q1</v>
      </c>
      <c r="P55" s="11">
        <f>YEAR(tblSales[[#This Row],[Date]])</f>
        <v>2024</v>
      </c>
      <c r="Q55" s="5">
        <f>tblSales[[#This Row],[Profit]]/tblSales[[#This Row],[Revenue]]</f>
        <v>0.15</v>
      </c>
      <c r="R55" s="8">
        <f>tblSales[[#This Row],[Revenue]]*1.1</f>
        <v>247500</v>
      </c>
    </row>
    <row r="56" spans="1:18">
      <c r="A56" t="s">
        <v>203</v>
      </c>
      <c r="B56" s="7">
        <v>45342</v>
      </c>
      <c r="C56" t="s">
        <v>33</v>
      </c>
      <c r="D56" t="s">
        <v>34</v>
      </c>
      <c r="E56" t="s">
        <v>204</v>
      </c>
      <c r="F56" t="s">
        <v>36</v>
      </c>
      <c r="G56" t="s">
        <v>205</v>
      </c>
      <c r="H56">
        <v>180</v>
      </c>
      <c r="I56" s="8">
        <v>450000</v>
      </c>
      <c r="J56" s="8">
        <v>90000</v>
      </c>
      <c r="K56">
        <v>0</v>
      </c>
      <c r="L56" s="8">
        <v>25000</v>
      </c>
      <c r="M56" t="s">
        <v>38</v>
      </c>
      <c r="N56" s="11" t="str">
        <f>TEXT(tblSales[[#This Row],[Date]],"mmmm")</f>
        <v>February</v>
      </c>
      <c r="O56" s="11" t="str">
        <f>"Q"&amp;ROUNDUP(MONTH(tblSales[[#This Row],[Date]])/3,0)</f>
        <v>Q1</v>
      </c>
      <c r="P56" s="11">
        <f>YEAR(tblSales[[#This Row],[Date]])</f>
        <v>2024</v>
      </c>
      <c r="Q56" s="5">
        <f>tblSales[[#This Row],[Profit]]/tblSales[[#This Row],[Revenue]]</f>
        <v>0.2</v>
      </c>
      <c r="R56" s="8">
        <f>tblSales[[#This Row],[Revenue]]*1.1</f>
        <v>495000</v>
      </c>
    </row>
    <row r="57" spans="1:18">
      <c r="A57" t="s">
        <v>206</v>
      </c>
      <c r="B57" s="7">
        <v>45343</v>
      </c>
      <c r="C57" t="s">
        <v>26</v>
      </c>
      <c r="D57" t="s">
        <v>27</v>
      </c>
      <c r="E57" t="s">
        <v>207</v>
      </c>
      <c r="F57" t="s">
        <v>22</v>
      </c>
      <c r="G57" t="s">
        <v>208</v>
      </c>
      <c r="H57">
        <v>25</v>
      </c>
      <c r="I57" s="8">
        <v>250000</v>
      </c>
      <c r="J57" s="8">
        <v>50000</v>
      </c>
      <c r="K57">
        <v>0</v>
      </c>
      <c r="L57" s="8">
        <v>8000</v>
      </c>
      <c r="M57" t="s">
        <v>24</v>
      </c>
      <c r="N57" s="11" t="str">
        <f>TEXT(tblSales[[#This Row],[Date]],"mmmm")</f>
        <v>February</v>
      </c>
      <c r="O57" s="11" t="str">
        <f>"Q"&amp;ROUNDUP(MONTH(tblSales[[#This Row],[Date]])/3,0)</f>
        <v>Q1</v>
      </c>
      <c r="P57" s="11">
        <f>YEAR(tblSales[[#This Row],[Date]])</f>
        <v>2024</v>
      </c>
      <c r="Q57" s="5">
        <f>tblSales[[#This Row],[Profit]]/tblSales[[#This Row],[Revenue]]</f>
        <v>0.2</v>
      </c>
      <c r="R57" s="8">
        <f>tblSales[[#This Row],[Revenue]]*1.1</f>
        <v>275000</v>
      </c>
    </row>
    <row r="58" spans="1:18">
      <c r="A58" t="s">
        <v>209</v>
      </c>
      <c r="B58" s="7">
        <v>45344</v>
      </c>
      <c r="C58" t="s">
        <v>40</v>
      </c>
      <c r="D58" t="s">
        <v>41</v>
      </c>
      <c r="E58" t="s">
        <v>210</v>
      </c>
      <c r="F58" t="s">
        <v>29</v>
      </c>
      <c r="G58" t="s">
        <v>211</v>
      </c>
      <c r="H58">
        <v>40</v>
      </c>
      <c r="I58" s="8">
        <v>400000</v>
      </c>
      <c r="J58" s="8">
        <v>80000</v>
      </c>
      <c r="K58">
        <v>0</v>
      </c>
      <c r="L58" s="8">
        <v>15000</v>
      </c>
      <c r="M58" t="s">
        <v>31</v>
      </c>
      <c r="N58" s="11" t="str">
        <f>TEXT(tblSales[[#This Row],[Date]],"mmmm")</f>
        <v>February</v>
      </c>
      <c r="O58" s="11" t="str">
        <f>"Q"&amp;ROUNDUP(MONTH(tblSales[[#This Row],[Date]])/3,0)</f>
        <v>Q1</v>
      </c>
      <c r="P58" s="11">
        <f>YEAR(tblSales[[#This Row],[Date]])</f>
        <v>2024</v>
      </c>
      <c r="Q58" s="5">
        <f>tblSales[[#This Row],[Profit]]/tblSales[[#This Row],[Revenue]]</f>
        <v>0.2</v>
      </c>
      <c r="R58" s="8">
        <f>tblSales[[#This Row],[Revenue]]*1.1</f>
        <v>440000</v>
      </c>
    </row>
    <row r="59" spans="1:18">
      <c r="A59" t="s">
        <v>212</v>
      </c>
      <c r="B59" s="7">
        <v>45344</v>
      </c>
      <c r="C59" t="s">
        <v>19</v>
      </c>
      <c r="D59" t="s">
        <v>113</v>
      </c>
      <c r="E59" t="s">
        <v>213</v>
      </c>
      <c r="F59" t="s">
        <v>43</v>
      </c>
      <c r="G59" t="s">
        <v>214</v>
      </c>
      <c r="H59">
        <v>6</v>
      </c>
      <c r="I59" s="8">
        <v>450000</v>
      </c>
      <c r="J59" s="8">
        <v>67500</v>
      </c>
      <c r="K59">
        <v>10</v>
      </c>
      <c r="L59" s="8">
        <v>20000</v>
      </c>
      <c r="M59" t="s">
        <v>24</v>
      </c>
      <c r="N59" s="11" t="str">
        <f>TEXT(tblSales[[#This Row],[Date]],"mmmm")</f>
        <v>February</v>
      </c>
      <c r="O59" s="11" t="str">
        <f>"Q"&amp;ROUNDUP(MONTH(tblSales[[#This Row],[Date]])/3,0)</f>
        <v>Q1</v>
      </c>
      <c r="P59" s="11">
        <f>YEAR(tblSales[[#This Row],[Date]])</f>
        <v>2024</v>
      </c>
      <c r="Q59" s="5">
        <f>tblSales[[#This Row],[Profit]]/tblSales[[#This Row],[Revenue]]</f>
        <v>0.15</v>
      </c>
      <c r="R59" s="8">
        <f>tblSales[[#This Row],[Revenue]]*1.1</f>
        <v>495000</v>
      </c>
    </row>
    <row r="60" spans="1:18">
      <c r="A60" t="s">
        <v>215</v>
      </c>
      <c r="B60" s="7">
        <v>45345</v>
      </c>
      <c r="C60" t="s">
        <v>33</v>
      </c>
      <c r="D60" t="s">
        <v>54</v>
      </c>
      <c r="E60" t="s">
        <v>216</v>
      </c>
      <c r="F60" t="s">
        <v>36</v>
      </c>
      <c r="G60" t="s">
        <v>217</v>
      </c>
      <c r="H60">
        <v>300</v>
      </c>
      <c r="I60" s="8">
        <v>450000</v>
      </c>
      <c r="J60" s="8">
        <v>90000</v>
      </c>
      <c r="K60">
        <v>0</v>
      </c>
      <c r="L60" s="8">
        <v>40000</v>
      </c>
      <c r="M60" t="s">
        <v>38</v>
      </c>
      <c r="N60" s="11" t="str">
        <f>TEXT(tblSales[[#This Row],[Date]],"mmmm")</f>
        <v>February</v>
      </c>
      <c r="O60" s="11" t="str">
        <f>"Q"&amp;ROUNDUP(MONTH(tblSales[[#This Row],[Date]])/3,0)</f>
        <v>Q1</v>
      </c>
      <c r="P60" s="11">
        <f>YEAR(tblSales[[#This Row],[Date]])</f>
        <v>2024</v>
      </c>
      <c r="Q60" s="5">
        <f>tblSales[[#This Row],[Profit]]/tblSales[[#This Row],[Revenue]]</f>
        <v>0.2</v>
      </c>
      <c r="R60" s="8">
        <f>tblSales[[#This Row],[Revenue]]*1.1</f>
        <v>495000</v>
      </c>
    </row>
    <row r="61" spans="1:18">
      <c r="A61" t="s">
        <v>218</v>
      </c>
      <c r="B61" s="7">
        <v>45346</v>
      </c>
      <c r="C61" t="s">
        <v>26</v>
      </c>
      <c r="D61" t="s">
        <v>46</v>
      </c>
      <c r="E61" t="s">
        <v>219</v>
      </c>
      <c r="F61" t="s">
        <v>22</v>
      </c>
      <c r="G61" t="s">
        <v>220</v>
      </c>
      <c r="H61">
        <v>75</v>
      </c>
      <c r="I61" s="8">
        <v>225000</v>
      </c>
      <c r="J61" s="8">
        <v>45000</v>
      </c>
      <c r="K61">
        <v>0</v>
      </c>
      <c r="L61" s="8">
        <v>6000</v>
      </c>
      <c r="M61" t="s">
        <v>24</v>
      </c>
      <c r="N61" s="11" t="str">
        <f>TEXT(tblSales[[#This Row],[Date]],"mmmm")</f>
        <v>February</v>
      </c>
      <c r="O61" s="11" t="str">
        <f>"Q"&amp;ROUNDUP(MONTH(tblSales[[#This Row],[Date]])/3,0)</f>
        <v>Q1</v>
      </c>
      <c r="P61" s="11">
        <f>YEAR(tblSales[[#This Row],[Date]])</f>
        <v>2024</v>
      </c>
      <c r="Q61" s="5">
        <f>tblSales[[#This Row],[Profit]]/tblSales[[#This Row],[Revenue]]</f>
        <v>0.2</v>
      </c>
      <c r="R61" s="8">
        <f>tblSales[[#This Row],[Revenue]]*1.1</f>
        <v>247500</v>
      </c>
    </row>
    <row r="62" spans="1:18">
      <c r="A62" t="s">
        <v>221</v>
      </c>
      <c r="B62" s="7">
        <v>45346</v>
      </c>
      <c r="C62" t="s">
        <v>19</v>
      </c>
      <c r="D62" t="s">
        <v>20</v>
      </c>
      <c r="E62" t="s">
        <v>222</v>
      </c>
      <c r="F62" t="s">
        <v>29</v>
      </c>
      <c r="G62" t="s">
        <v>223</v>
      </c>
      <c r="H62">
        <v>50</v>
      </c>
      <c r="I62" s="8">
        <v>200000</v>
      </c>
      <c r="J62" s="8">
        <v>40000</v>
      </c>
      <c r="K62">
        <v>0</v>
      </c>
      <c r="L62" s="8">
        <v>5000</v>
      </c>
      <c r="M62" t="s">
        <v>31</v>
      </c>
      <c r="N62" s="11" t="str">
        <f>TEXT(tblSales[[#This Row],[Date]],"mmmm")</f>
        <v>February</v>
      </c>
      <c r="O62" s="11" t="str">
        <f>"Q"&amp;ROUNDUP(MONTH(tblSales[[#This Row],[Date]])/3,0)</f>
        <v>Q1</v>
      </c>
      <c r="P62" s="11">
        <f>YEAR(tblSales[[#This Row],[Date]])</f>
        <v>2024</v>
      </c>
      <c r="Q62" s="5">
        <f>tblSales[[#This Row],[Profit]]/tblSales[[#This Row],[Revenue]]</f>
        <v>0.2</v>
      </c>
      <c r="R62" s="8">
        <f>tblSales[[#This Row],[Revenue]]*1.1</f>
        <v>220000</v>
      </c>
    </row>
    <row r="63" spans="1:18">
      <c r="A63" t="s">
        <v>224</v>
      </c>
      <c r="B63" s="7">
        <v>45347</v>
      </c>
      <c r="C63" t="s">
        <v>40</v>
      </c>
      <c r="D63" t="s">
        <v>93</v>
      </c>
      <c r="E63" t="s">
        <v>225</v>
      </c>
      <c r="F63" t="s">
        <v>43</v>
      </c>
      <c r="G63" t="s">
        <v>226</v>
      </c>
      <c r="H63">
        <v>2</v>
      </c>
      <c r="I63" s="8">
        <v>350000</v>
      </c>
      <c r="J63" s="8">
        <v>52500</v>
      </c>
      <c r="K63">
        <v>5</v>
      </c>
      <c r="L63" s="8">
        <v>22000</v>
      </c>
      <c r="M63" t="s">
        <v>24</v>
      </c>
      <c r="N63" s="11" t="str">
        <f>TEXT(tblSales[[#This Row],[Date]],"mmmm")</f>
        <v>February</v>
      </c>
      <c r="O63" s="11" t="str">
        <f>"Q"&amp;ROUNDUP(MONTH(tblSales[[#This Row],[Date]])/3,0)</f>
        <v>Q1</v>
      </c>
      <c r="P63" s="11">
        <f>YEAR(tblSales[[#This Row],[Date]])</f>
        <v>2024</v>
      </c>
      <c r="Q63" s="5">
        <f>tblSales[[#This Row],[Profit]]/tblSales[[#This Row],[Revenue]]</f>
        <v>0.15</v>
      </c>
      <c r="R63" s="8">
        <f>tblSales[[#This Row],[Revenue]]*1.1</f>
        <v>385000</v>
      </c>
    </row>
    <row r="64" spans="1:18">
      <c r="A64" t="s">
        <v>227</v>
      </c>
      <c r="B64" s="7">
        <v>45348</v>
      </c>
      <c r="C64" t="s">
        <v>33</v>
      </c>
      <c r="D64" t="s">
        <v>34</v>
      </c>
      <c r="E64" t="s">
        <v>228</v>
      </c>
      <c r="F64" t="s">
        <v>36</v>
      </c>
      <c r="G64" t="s">
        <v>229</v>
      </c>
      <c r="H64">
        <v>200</v>
      </c>
      <c r="I64" s="8">
        <v>700000</v>
      </c>
      <c r="J64" s="8">
        <v>140000</v>
      </c>
      <c r="K64">
        <v>0</v>
      </c>
      <c r="L64" s="8">
        <v>30000</v>
      </c>
      <c r="M64" t="s">
        <v>38</v>
      </c>
      <c r="N64" s="11" t="str">
        <f>TEXT(tblSales[[#This Row],[Date]],"mmmm")</f>
        <v>February</v>
      </c>
      <c r="O64" s="11" t="str">
        <f>"Q"&amp;ROUNDUP(MONTH(tblSales[[#This Row],[Date]])/3,0)</f>
        <v>Q1</v>
      </c>
      <c r="P64" s="11">
        <f>YEAR(tblSales[[#This Row],[Date]])</f>
        <v>2024</v>
      </c>
      <c r="Q64" s="5">
        <f>tblSales[[#This Row],[Profit]]/tblSales[[#This Row],[Revenue]]</f>
        <v>0.2</v>
      </c>
      <c r="R64" s="8">
        <f>tblSales[[#This Row],[Revenue]]*1.1</f>
        <v>770000</v>
      </c>
    </row>
    <row r="65" spans="1:18">
      <c r="A65" t="s">
        <v>230</v>
      </c>
      <c r="B65" s="7">
        <v>45348</v>
      </c>
      <c r="C65" t="s">
        <v>26</v>
      </c>
      <c r="D65" t="s">
        <v>27</v>
      </c>
      <c r="E65" t="s">
        <v>231</v>
      </c>
      <c r="F65" t="s">
        <v>22</v>
      </c>
      <c r="G65" t="s">
        <v>232</v>
      </c>
      <c r="H65">
        <v>4</v>
      </c>
      <c r="I65" s="8">
        <v>800000</v>
      </c>
      <c r="J65" s="8">
        <v>120000</v>
      </c>
      <c r="K65">
        <v>10</v>
      </c>
      <c r="L65" s="8">
        <v>25000</v>
      </c>
      <c r="M65" t="s">
        <v>24</v>
      </c>
      <c r="N65" s="11" t="str">
        <f>TEXT(tblSales[[#This Row],[Date]],"mmmm")</f>
        <v>February</v>
      </c>
      <c r="O65" s="11" t="str">
        <f>"Q"&amp;ROUNDUP(MONTH(tblSales[[#This Row],[Date]])/3,0)</f>
        <v>Q1</v>
      </c>
      <c r="P65" s="11">
        <f>YEAR(tblSales[[#This Row],[Date]])</f>
        <v>2024</v>
      </c>
      <c r="Q65" s="5">
        <f>tblSales[[#This Row],[Profit]]/tblSales[[#This Row],[Revenue]]</f>
        <v>0.15</v>
      </c>
      <c r="R65" s="8">
        <f>tblSales[[#This Row],[Revenue]]*1.1</f>
        <v>880000</v>
      </c>
    </row>
    <row r="66" spans="1:18">
      <c r="A66" t="s">
        <v>233</v>
      </c>
      <c r="B66" s="7">
        <v>45349</v>
      </c>
      <c r="C66" t="s">
        <v>19</v>
      </c>
      <c r="D66" t="s">
        <v>50</v>
      </c>
      <c r="E66" t="s">
        <v>234</v>
      </c>
      <c r="F66" t="s">
        <v>29</v>
      </c>
      <c r="G66" t="s">
        <v>235</v>
      </c>
      <c r="H66">
        <v>22</v>
      </c>
      <c r="I66" s="8">
        <v>550000</v>
      </c>
      <c r="J66" s="8">
        <v>110000</v>
      </c>
      <c r="K66">
        <v>0</v>
      </c>
      <c r="L66" s="8">
        <v>18000</v>
      </c>
      <c r="M66" t="s">
        <v>31</v>
      </c>
      <c r="N66" s="11" t="str">
        <f>TEXT(tblSales[[#This Row],[Date]],"mmmm")</f>
        <v>February</v>
      </c>
      <c r="O66" s="11" t="str">
        <f>"Q"&amp;ROUNDUP(MONTH(tblSales[[#This Row],[Date]])/3,0)</f>
        <v>Q1</v>
      </c>
      <c r="P66" s="11">
        <f>YEAR(tblSales[[#This Row],[Date]])</f>
        <v>2024</v>
      </c>
      <c r="Q66" s="5">
        <f>tblSales[[#This Row],[Profit]]/tblSales[[#This Row],[Revenue]]</f>
        <v>0.2</v>
      </c>
      <c r="R66" s="8">
        <f>tblSales[[#This Row],[Revenue]]*1.1</f>
        <v>605000</v>
      </c>
    </row>
    <row r="67" spans="1:18">
      <c r="A67" t="s">
        <v>236</v>
      </c>
      <c r="B67" s="7">
        <v>45350</v>
      </c>
      <c r="C67" t="s">
        <v>33</v>
      </c>
      <c r="D67" t="s">
        <v>54</v>
      </c>
      <c r="E67" t="s">
        <v>237</v>
      </c>
      <c r="F67" t="s">
        <v>36</v>
      </c>
      <c r="G67" t="s">
        <v>238</v>
      </c>
      <c r="H67">
        <v>350</v>
      </c>
      <c r="I67" s="8">
        <v>875000</v>
      </c>
      <c r="J67" s="8">
        <v>175000</v>
      </c>
      <c r="K67">
        <v>0</v>
      </c>
      <c r="L67" s="8">
        <v>45000</v>
      </c>
      <c r="M67" t="s">
        <v>38</v>
      </c>
      <c r="N67" s="11" t="str">
        <f>TEXT(tblSales[[#This Row],[Date]],"mmmm")</f>
        <v>February</v>
      </c>
      <c r="O67" s="11" t="str">
        <f>"Q"&amp;ROUNDUP(MONTH(tblSales[[#This Row],[Date]])/3,0)</f>
        <v>Q1</v>
      </c>
      <c r="P67" s="11">
        <f>YEAR(tblSales[[#This Row],[Date]])</f>
        <v>2024</v>
      </c>
      <c r="Q67" s="5">
        <f>tblSales[[#This Row],[Profit]]/tblSales[[#This Row],[Revenue]]</f>
        <v>0.2</v>
      </c>
      <c r="R67" s="8">
        <f>tblSales[[#This Row],[Revenue]]*1.1</f>
        <v>962500</v>
      </c>
    </row>
    <row r="68" spans="1:18">
      <c r="A68" t="s">
        <v>239</v>
      </c>
      <c r="B68" s="7">
        <v>45352</v>
      </c>
      <c r="C68" t="s">
        <v>26</v>
      </c>
      <c r="D68" t="s">
        <v>71</v>
      </c>
      <c r="E68" t="s">
        <v>240</v>
      </c>
      <c r="F68" t="s">
        <v>22</v>
      </c>
      <c r="G68" t="s">
        <v>241</v>
      </c>
      <c r="H68">
        <v>8</v>
      </c>
      <c r="I68" s="8">
        <v>320000</v>
      </c>
      <c r="J68" s="8">
        <v>48000</v>
      </c>
      <c r="K68">
        <v>10</v>
      </c>
      <c r="L68" s="8">
        <v>10000</v>
      </c>
      <c r="M68" t="s">
        <v>24</v>
      </c>
      <c r="N68" s="11" t="str">
        <f>TEXT(tblSales[[#This Row],[Date]],"mmmm")</f>
        <v>March</v>
      </c>
      <c r="O68" s="11" t="str">
        <f>"Q"&amp;ROUNDUP(MONTH(tblSales[[#This Row],[Date]])/3,0)</f>
        <v>Q1</v>
      </c>
      <c r="P68" s="11">
        <f>YEAR(tblSales[[#This Row],[Date]])</f>
        <v>2024</v>
      </c>
      <c r="Q68" s="5">
        <f>tblSales[[#This Row],[Profit]]/tblSales[[#This Row],[Revenue]]</f>
        <v>0.15</v>
      </c>
      <c r="R68" s="8">
        <f>tblSales[[#This Row],[Revenue]]*1.1</f>
        <v>352000</v>
      </c>
    </row>
    <row r="69" spans="1:18">
      <c r="A69" t="s">
        <v>242</v>
      </c>
      <c r="B69" s="7">
        <v>45353</v>
      </c>
      <c r="C69" t="s">
        <v>40</v>
      </c>
      <c r="D69" t="s">
        <v>41</v>
      </c>
      <c r="E69" t="s">
        <v>243</v>
      </c>
      <c r="F69" t="s">
        <v>43</v>
      </c>
      <c r="G69" t="s">
        <v>244</v>
      </c>
      <c r="H69">
        <v>3</v>
      </c>
      <c r="I69" s="8">
        <v>300000</v>
      </c>
      <c r="J69" s="8">
        <v>45000</v>
      </c>
      <c r="K69">
        <v>5</v>
      </c>
      <c r="L69" s="8">
        <v>15000</v>
      </c>
      <c r="M69" t="s">
        <v>31</v>
      </c>
      <c r="N69" s="11" t="str">
        <f>TEXT(tblSales[[#This Row],[Date]],"mmmm")</f>
        <v>March</v>
      </c>
      <c r="O69" s="11" t="str">
        <f>"Q"&amp;ROUNDUP(MONTH(tblSales[[#This Row],[Date]])/3,0)</f>
        <v>Q1</v>
      </c>
      <c r="P69" s="11">
        <f>YEAR(tblSales[[#This Row],[Date]])</f>
        <v>2024</v>
      </c>
      <c r="Q69" s="5">
        <f>tblSales[[#This Row],[Profit]]/tblSales[[#This Row],[Revenue]]</f>
        <v>0.15</v>
      </c>
      <c r="R69" s="8">
        <f>tblSales[[#This Row],[Revenue]]*1.1</f>
        <v>330000</v>
      </c>
    </row>
    <row r="70" spans="1:18">
      <c r="A70" t="s">
        <v>245</v>
      </c>
      <c r="B70" s="7">
        <v>45353</v>
      </c>
      <c r="C70" t="s">
        <v>19</v>
      </c>
      <c r="D70" t="s">
        <v>20</v>
      </c>
      <c r="E70" t="s">
        <v>246</v>
      </c>
      <c r="F70" t="s">
        <v>29</v>
      </c>
      <c r="G70" t="s">
        <v>247</v>
      </c>
      <c r="H70">
        <v>4</v>
      </c>
      <c r="I70" s="8">
        <v>600000</v>
      </c>
      <c r="J70" s="8">
        <v>90000</v>
      </c>
      <c r="K70">
        <v>0</v>
      </c>
      <c r="L70" s="8">
        <v>20000</v>
      </c>
      <c r="M70" t="s">
        <v>24</v>
      </c>
      <c r="N70" s="11" t="str">
        <f>TEXT(tblSales[[#This Row],[Date]],"mmmm")</f>
        <v>March</v>
      </c>
      <c r="O70" s="11" t="str">
        <f>"Q"&amp;ROUNDUP(MONTH(tblSales[[#This Row],[Date]])/3,0)</f>
        <v>Q1</v>
      </c>
      <c r="P70" s="11">
        <f>YEAR(tblSales[[#This Row],[Date]])</f>
        <v>2024</v>
      </c>
      <c r="Q70" s="5">
        <f>tblSales[[#This Row],[Profit]]/tblSales[[#This Row],[Revenue]]</f>
        <v>0.15</v>
      </c>
      <c r="R70" s="8">
        <f>tblSales[[#This Row],[Revenue]]*1.1</f>
        <v>660000</v>
      </c>
    </row>
    <row r="71" spans="1:18">
      <c r="A71" t="s">
        <v>248</v>
      </c>
      <c r="B71" s="7">
        <v>45354</v>
      </c>
      <c r="C71" t="s">
        <v>33</v>
      </c>
      <c r="D71" t="s">
        <v>34</v>
      </c>
      <c r="E71" t="s">
        <v>249</v>
      </c>
      <c r="F71" t="s">
        <v>36</v>
      </c>
      <c r="G71" t="s">
        <v>250</v>
      </c>
      <c r="H71">
        <v>400</v>
      </c>
      <c r="I71" s="8">
        <v>1000000</v>
      </c>
      <c r="J71" s="8">
        <v>200000</v>
      </c>
      <c r="K71">
        <v>0</v>
      </c>
      <c r="L71" s="8">
        <v>55000</v>
      </c>
      <c r="M71" t="s">
        <v>38</v>
      </c>
      <c r="N71" s="11" t="str">
        <f>TEXT(tblSales[[#This Row],[Date]],"mmmm")</f>
        <v>March</v>
      </c>
      <c r="O71" s="11" t="str">
        <f>"Q"&amp;ROUNDUP(MONTH(tblSales[[#This Row],[Date]])/3,0)</f>
        <v>Q1</v>
      </c>
      <c r="P71" s="11">
        <f>YEAR(tblSales[[#This Row],[Date]])</f>
        <v>2024</v>
      </c>
      <c r="Q71" s="5">
        <f>tblSales[[#This Row],[Profit]]/tblSales[[#This Row],[Revenue]]</f>
        <v>0.2</v>
      </c>
      <c r="R71" s="8">
        <f>tblSales[[#This Row],[Revenue]]*1.1</f>
        <v>1100000</v>
      </c>
    </row>
    <row r="72" spans="1:18">
      <c r="A72" t="s">
        <v>251</v>
      </c>
      <c r="B72" s="7">
        <v>45355</v>
      </c>
      <c r="C72" t="s">
        <v>26</v>
      </c>
      <c r="D72" t="s">
        <v>27</v>
      </c>
      <c r="E72" t="s">
        <v>252</v>
      </c>
      <c r="F72" t="s">
        <v>22</v>
      </c>
      <c r="G72" t="s">
        <v>253</v>
      </c>
      <c r="H72">
        <v>2</v>
      </c>
      <c r="I72" s="8">
        <v>500000</v>
      </c>
      <c r="J72" s="8">
        <v>75000</v>
      </c>
      <c r="K72">
        <v>10</v>
      </c>
      <c r="L72" s="8">
        <v>18000</v>
      </c>
      <c r="M72" t="s">
        <v>24</v>
      </c>
      <c r="N72" s="11" t="str">
        <f>TEXT(tblSales[[#This Row],[Date]],"mmmm")</f>
        <v>March</v>
      </c>
      <c r="O72" s="11" t="str">
        <f>"Q"&amp;ROUNDUP(MONTH(tblSales[[#This Row],[Date]])/3,0)</f>
        <v>Q1</v>
      </c>
      <c r="P72" s="11">
        <f>YEAR(tblSales[[#This Row],[Date]])</f>
        <v>2024</v>
      </c>
      <c r="Q72" s="5">
        <f>tblSales[[#This Row],[Profit]]/tblSales[[#This Row],[Revenue]]</f>
        <v>0.15</v>
      </c>
      <c r="R72" s="8">
        <f>tblSales[[#This Row],[Revenue]]*1.1</f>
        <v>550000</v>
      </c>
    </row>
    <row r="73" spans="1:18">
      <c r="A73" t="s">
        <v>254</v>
      </c>
      <c r="B73" s="7">
        <v>45355</v>
      </c>
      <c r="C73" t="s">
        <v>40</v>
      </c>
      <c r="D73" t="s">
        <v>61</v>
      </c>
      <c r="E73" t="s">
        <v>255</v>
      </c>
      <c r="F73" t="s">
        <v>29</v>
      </c>
      <c r="G73" t="s">
        <v>256</v>
      </c>
      <c r="H73">
        <v>150</v>
      </c>
      <c r="I73" s="8">
        <v>225000</v>
      </c>
      <c r="J73" s="8">
        <v>45000</v>
      </c>
      <c r="K73">
        <v>0</v>
      </c>
      <c r="L73" s="8">
        <v>12000</v>
      </c>
      <c r="M73" t="s">
        <v>31</v>
      </c>
      <c r="N73" s="11" t="str">
        <f>TEXT(tblSales[[#This Row],[Date]],"mmmm")</f>
        <v>March</v>
      </c>
      <c r="O73" s="11" t="str">
        <f>"Q"&amp;ROUNDUP(MONTH(tblSales[[#This Row],[Date]])/3,0)</f>
        <v>Q1</v>
      </c>
      <c r="P73" s="11">
        <f>YEAR(tblSales[[#This Row],[Date]])</f>
        <v>2024</v>
      </c>
      <c r="Q73" s="5">
        <f>tblSales[[#This Row],[Profit]]/tblSales[[#This Row],[Revenue]]</f>
        <v>0.2</v>
      </c>
      <c r="R73" s="8">
        <f>tblSales[[#This Row],[Revenue]]*1.1</f>
        <v>247500</v>
      </c>
    </row>
    <row r="74" spans="1:18">
      <c r="A74" t="s">
        <v>257</v>
      </c>
      <c r="B74" s="7">
        <v>45356</v>
      </c>
      <c r="C74" t="s">
        <v>19</v>
      </c>
      <c r="D74" t="s">
        <v>100</v>
      </c>
      <c r="E74" t="s">
        <v>258</v>
      </c>
      <c r="F74" t="s">
        <v>43</v>
      </c>
      <c r="G74" t="s">
        <v>259</v>
      </c>
      <c r="H74">
        <v>5</v>
      </c>
      <c r="I74" s="8">
        <v>375000</v>
      </c>
      <c r="J74" s="8">
        <v>56250</v>
      </c>
      <c r="K74">
        <v>5</v>
      </c>
      <c r="L74" s="8">
        <v>20000</v>
      </c>
      <c r="M74" t="s">
        <v>24</v>
      </c>
      <c r="N74" s="11" t="str">
        <f>TEXT(tblSales[[#This Row],[Date]],"mmmm")</f>
        <v>March</v>
      </c>
      <c r="O74" s="11" t="str">
        <f>"Q"&amp;ROUNDUP(MONTH(tblSales[[#This Row],[Date]])/3,0)</f>
        <v>Q1</v>
      </c>
      <c r="P74" s="11">
        <f>YEAR(tblSales[[#This Row],[Date]])</f>
        <v>2024</v>
      </c>
      <c r="Q74" s="5">
        <f>tblSales[[#This Row],[Profit]]/tblSales[[#This Row],[Revenue]]</f>
        <v>0.15</v>
      </c>
      <c r="R74" s="8">
        <f>tblSales[[#This Row],[Revenue]]*1.1</f>
        <v>412500</v>
      </c>
    </row>
    <row r="75" spans="1:18">
      <c r="A75" t="s">
        <v>260</v>
      </c>
      <c r="B75" s="7">
        <v>45357</v>
      </c>
      <c r="C75" t="s">
        <v>33</v>
      </c>
      <c r="D75" t="s">
        <v>54</v>
      </c>
      <c r="E75" t="s">
        <v>261</v>
      </c>
      <c r="F75" t="s">
        <v>36</v>
      </c>
      <c r="G75" t="s">
        <v>262</v>
      </c>
      <c r="H75">
        <v>220</v>
      </c>
      <c r="I75" s="8">
        <v>770000</v>
      </c>
      <c r="J75" s="8">
        <v>154000</v>
      </c>
      <c r="K75">
        <v>0</v>
      </c>
      <c r="L75" s="8">
        <v>35000</v>
      </c>
      <c r="M75" t="s">
        <v>38</v>
      </c>
      <c r="N75" s="11" t="str">
        <f>TEXT(tblSales[[#This Row],[Date]],"mmmm")</f>
        <v>March</v>
      </c>
      <c r="O75" s="11" t="str">
        <f>"Q"&amp;ROUNDUP(MONTH(tblSales[[#This Row],[Date]])/3,0)</f>
        <v>Q1</v>
      </c>
      <c r="P75" s="11">
        <f>YEAR(tblSales[[#This Row],[Date]])</f>
        <v>2024</v>
      </c>
      <c r="Q75" s="5">
        <f>tblSales[[#This Row],[Profit]]/tblSales[[#This Row],[Revenue]]</f>
        <v>0.2</v>
      </c>
      <c r="R75" s="8">
        <f>tblSales[[#This Row],[Revenue]]*1.1</f>
        <v>847000</v>
      </c>
    </row>
    <row r="76" spans="1:18">
      <c r="A76" t="s">
        <v>263</v>
      </c>
      <c r="B76" s="7">
        <v>45357</v>
      </c>
      <c r="C76" t="s">
        <v>26</v>
      </c>
      <c r="D76" t="s">
        <v>46</v>
      </c>
      <c r="E76" t="s">
        <v>264</v>
      </c>
      <c r="F76" t="s">
        <v>22</v>
      </c>
      <c r="G76" t="s">
        <v>265</v>
      </c>
      <c r="H76">
        <v>15</v>
      </c>
      <c r="I76" s="8">
        <v>375000</v>
      </c>
      <c r="J76" s="8">
        <v>75000</v>
      </c>
      <c r="K76">
        <v>0</v>
      </c>
      <c r="L76" s="8">
        <v>10000</v>
      </c>
      <c r="M76" t="s">
        <v>24</v>
      </c>
      <c r="N76" s="11" t="str">
        <f>TEXT(tblSales[[#This Row],[Date]],"mmmm")</f>
        <v>March</v>
      </c>
      <c r="O76" s="11" t="str">
        <f>"Q"&amp;ROUNDUP(MONTH(tblSales[[#This Row],[Date]])/3,0)</f>
        <v>Q1</v>
      </c>
      <c r="P76" s="11">
        <f>YEAR(tblSales[[#This Row],[Date]])</f>
        <v>2024</v>
      </c>
      <c r="Q76" s="5">
        <f>tblSales[[#This Row],[Profit]]/tblSales[[#This Row],[Revenue]]</f>
        <v>0.2</v>
      </c>
      <c r="R76" s="8">
        <f>tblSales[[#This Row],[Revenue]]*1.1</f>
        <v>412500</v>
      </c>
    </row>
    <row r="77" spans="1:18">
      <c r="A77" t="s">
        <v>266</v>
      </c>
      <c r="B77" s="7">
        <v>45358</v>
      </c>
      <c r="C77" t="s">
        <v>19</v>
      </c>
      <c r="D77" t="s">
        <v>50</v>
      </c>
      <c r="E77" t="s">
        <v>267</v>
      </c>
      <c r="F77" t="s">
        <v>29</v>
      </c>
      <c r="G77" t="s">
        <v>268</v>
      </c>
      <c r="H77">
        <v>65</v>
      </c>
      <c r="I77" s="8">
        <v>325000</v>
      </c>
      <c r="J77" s="8">
        <v>65000</v>
      </c>
      <c r="K77">
        <v>0</v>
      </c>
      <c r="L77" s="8">
        <v>8000</v>
      </c>
      <c r="M77" t="s">
        <v>31</v>
      </c>
      <c r="N77" s="11" t="str">
        <f>TEXT(tblSales[[#This Row],[Date]],"mmmm")</f>
        <v>March</v>
      </c>
      <c r="O77" s="11" t="str">
        <f>"Q"&amp;ROUNDUP(MONTH(tblSales[[#This Row],[Date]])/3,0)</f>
        <v>Q1</v>
      </c>
      <c r="P77" s="11">
        <f>YEAR(tblSales[[#This Row],[Date]])</f>
        <v>2024</v>
      </c>
      <c r="Q77" s="5">
        <f>tblSales[[#This Row],[Profit]]/tblSales[[#This Row],[Revenue]]</f>
        <v>0.2</v>
      </c>
      <c r="R77" s="8">
        <f>tblSales[[#This Row],[Revenue]]*1.1</f>
        <v>357500</v>
      </c>
    </row>
    <row r="78" spans="1:18">
      <c r="A78" t="s">
        <v>269</v>
      </c>
      <c r="B78" s="7">
        <v>45359</v>
      </c>
      <c r="C78" t="s">
        <v>33</v>
      </c>
      <c r="D78" t="s">
        <v>34</v>
      </c>
      <c r="E78" t="s">
        <v>270</v>
      </c>
      <c r="F78" t="s">
        <v>36</v>
      </c>
      <c r="G78" t="s">
        <v>271</v>
      </c>
      <c r="H78">
        <v>80</v>
      </c>
      <c r="I78" s="8">
        <v>600000</v>
      </c>
      <c r="J78" s="8">
        <v>120000</v>
      </c>
      <c r="K78">
        <v>0</v>
      </c>
      <c r="L78" s="8">
        <v>15000</v>
      </c>
      <c r="M78" t="s">
        <v>38</v>
      </c>
      <c r="N78" s="11" t="str">
        <f>TEXT(tblSales[[#This Row],[Date]],"mmmm")</f>
        <v>March</v>
      </c>
      <c r="O78" s="11" t="str">
        <f>"Q"&amp;ROUNDUP(MONTH(tblSales[[#This Row],[Date]])/3,0)</f>
        <v>Q1</v>
      </c>
      <c r="P78" s="11">
        <f>YEAR(tblSales[[#This Row],[Date]])</f>
        <v>2024</v>
      </c>
      <c r="Q78" s="5">
        <f>tblSales[[#This Row],[Profit]]/tblSales[[#This Row],[Revenue]]</f>
        <v>0.2</v>
      </c>
      <c r="R78" s="8">
        <f>tblSales[[#This Row],[Revenue]]*1.1</f>
        <v>660000</v>
      </c>
    </row>
    <row r="79" spans="1:18">
      <c r="A79" t="s">
        <v>272</v>
      </c>
      <c r="B79" s="7">
        <v>45359</v>
      </c>
      <c r="C79" t="s">
        <v>26</v>
      </c>
      <c r="D79" t="s">
        <v>27</v>
      </c>
      <c r="E79" t="s">
        <v>273</v>
      </c>
      <c r="F79" t="s">
        <v>43</v>
      </c>
      <c r="G79" t="s">
        <v>274</v>
      </c>
      <c r="H79">
        <v>10</v>
      </c>
      <c r="I79" s="8">
        <v>250000</v>
      </c>
      <c r="J79" s="8">
        <v>37500</v>
      </c>
      <c r="K79">
        <v>10</v>
      </c>
      <c r="L79" s="8">
        <v>12000</v>
      </c>
      <c r="M79" t="s">
        <v>24</v>
      </c>
      <c r="N79" s="11" t="str">
        <f>TEXT(tblSales[[#This Row],[Date]],"mmmm")</f>
        <v>March</v>
      </c>
      <c r="O79" s="11" t="str">
        <f>"Q"&amp;ROUNDUP(MONTH(tblSales[[#This Row],[Date]])/3,0)</f>
        <v>Q1</v>
      </c>
      <c r="P79" s="11">
        <f>YEAR(tblSales[[#This Row],[Date]])</f>
        <v>2024</v>
      </c>
      <c r="Q79" s="5">
        <f>tblSales[[#This Row],[Profit]]/tblSales[[#This Row],[Revenue]]</f>
        <v>0.15</v>
      </c>
      <c r="R79" s="8">
        <f>tblSales[[#This Row],[Revenue]]*1.1</f>
        <v>275000</v>
      </c>
    </row>
    <row r="80" spans="1:18">
      <c r="A80" t="s">
        <v>275</v>
      </c>
      <c r="B80" s="7">
        <v>45360</v>
      </c>
      <c r="C80" t="s">
        <v>40</v>
      </c>
      <c r="D80" t="s">
        <v>41</v>
      </c>
      <c r="E80" t="s">
        <v>276</v>
      </c>
      <c r="F80" t="s">
        <v>22</v>
      </c>
      <c r="G80" t="s">
        <v>277</v>
      </c>
      <c r="H80">
        <v>120</v>
      </c>
      <c r="I80" s="8">
        <v>300000</v>
      </c>
      <c r="J80" s="8">
        <v>60000</v>
      </c>
      <c r="K80">
        <v>0</v>
      </c>
      <c r="L80" s="8">
        <v>15000</v>
      </c>
      <c r="M80" t="s">
        <v>31</v>
      </c>
      <c r="N80" s="11" t="str">
        <f>TEXT(tblSales[[#This Row],[Date]],"mmmm")</f>
        <v>March</v>
      </c>
      <c r="O80" s="11" t="str">
        <f>"Q"&amp;ROUNDUP(MONTH(tblSales[[#This Row],[Date]])/3,0)</f>
        <v>Q1</v>
      </c>
      <c r="P80" s="11">
        <f>YEAR(tblSales[[#This Row],[Date]])</f>
        <v>2024</v>
      </c>
      <c r="Q80" s="5">
        <f>tblSales[[#This Row],[Profit]]/tblSales[[#This Row],[Revenue]]</f>
        <v>0.2</v>
      </c>
      <c r="R80" s="8">
        <f>tblSales[[#This Row],[Revenue]]*1.1</f>
        <v>330000</v>
      </c>
    </row>
    <row r="81" spans="1:18">
      <c r="A81" t="s">
        <v>278</v>
      </c>
      <c r="B81" s="7">
        <v>45361</v>
      </c>
      <c r="C81" t="s">
        <v>19</v>
      </c>
      <c r="D81" t="s">
        <v>20</v>
      </c>
      <c r="E81" t="s">
        <v>279</v>
      </c>
      <c r="F81" t="s">
        <v>29</v>
      </c>
      <c r="G81" t="s">
        <v>280</v>
      </c>
      <c r="H81">
        <v>12</v>
      </c>
      <c r="I81" s="8">
        <v>360000</v>
      </c>
      <c r="J81" s="8">
        <v>72000</v>
      </c>
      <c r="K81">
        <v>0</v>
      </c>
      <c r="L81" s="8">
        <v>10000</v>
      </c>
      <c r="M81" t="s">
        <v>24</v>
      </c>
      <c r="N81" s="11" t="str">
        <f>TEXT(tblSales[[#This Row],[Date]],"mmmm")</f>
        <v>March</v>
      </c>
      <c r="O81" s="11" t="str">
        <f>"Q"&amp;ROUNDUP(MONTH(tblSales[[#This Row],[Date]])/3,0)</f>
        <v>Q1</v>
      </c>
      <c r="P81" s="11">
        <f>YEAR(tblSales[[#This Row],[Date]])</f>
        <v>2024</v>
      </c>
      <c r="Q81" s="5">
        <f>tblSales[[#This Row],[Profit]]/tblSales[[#This Row],[Revenue]]</f>
        <v>0.2</v>
      </c>
      <c r="R81" s="8">
        <f>tblSales[[#This Row],[Revenue]]*1.1</f>
        <v>396000</v>
      </c>
    </row>
    <row r="82" spans="1:18">
      <c r="A82" t="s">
        <v>281</v>
      </c>
      <c r="B82" s="7">
        <v>45361</v>
      </c>
      <c r="C82" t="s">
        <v>33</v>
      </c>
      <c r="D82" t="s">
        <v>54</v>
      </c>
      <c r="E82" t="s">
        <v>282</v>
      </c>
      <c r="F82" t="s">
        <v>36</v>
      </c>
      <c r="G82" t="s">
        <v>283</v>
      </c>
      <c r="H82">
        <v>100</v>
      </c>
      <c r="I82" s="8">
        <v>400000</v>
      </c>
      <c r="J82" s="8">
        <v>80000</v>
      </c>
      <c r="K82">
        <v>0</v>
      </c>
      <c r="L82" s="8">
        <v>20000</v>
      </c>
      <c r="M82" t="s">
        <v>38</v>
      </c>
      <c r="N82" s="11" t="str">
        <f>TEXT(tblSales[[#This Row],[Date]],"mmmm")</f>
        <v>March</v>
      </c>
      <c r="O82" s="11" t="str">
        <f>"Q"&amp;ROUNDUP(MONTH(tblSales[[#This Row],[Date]])/3,0)</f>
        <v>Q1</v>
      </c>
      <c r="P82" s="11">
        <f>YEAR(tblSales[[#This Row],[Date]])</f>
        <v>2024</v>
      </c>
      <c r="Q82" s="5">
        <f>tblSales[[#This Row],[Profit]]/tblSales[[#This Row],[Revenue]]</f>
        <v>0.2</v>
      </c>
      <c r="R82" s="8">
        <f>tblSales[[#This Row],[Revenue]]*1.1</f>
        <v>440000</v>
      </c>
    </row>
    <row r="83" spans="1:18">
      <c r="A83" t="s">
        <v>284</v>
      </c>
      <c r="B83" s="7">
        <v>45362</v>
      </c>
      <c r="C83" t="s">
        <v>26</v>
      </c>
      <c r="D83" t="s">
        <v>71</v>
      </c>
      <c r="E83" t="s">
        <v>285</v>
      </c>
      <c r="F83" t="s">
        <v>22</v>
      </c>
      <c r="G83" t="s">
        <v>286</v>
      </c>
      <c r="H83">
        <v>2</v>
      </c>
      <c r="I83" s="8">
        <v>500000</v>
      </c>
      <c r="J83" s="8">
        <v>75000</v>
      </c>
      <c r="K83">
        <v>5</v>
      </c>
      <c r="L83" s="8">
        <v>15000</v>
      </c>
      <c r="M83" t="s">
        <v>24</v>
      </c>
      <c r="N83" s="11" t="str">
        <f>TEXT(tblSales[[#This Row],[Date]],"mmmm")</f>
        <v>March</v>
      </c>
      <c r="O83" s="11" t="str">
        <f>"Q"&amp;ROUNDUP(MONTH(tblSales[[#This Row],[Date]])/3,0)</f>
        <v>Q1</v>
      </c>
      <c r="P83" s="11">
        <f>YEAR(tblSales[[#This Row],[Date]])</f>
        <v>2024</v>
      </c>
      <c r="Q83" s="5">
        <f>tblSales[[#This Row],[Profit]]/tblSales[[#This Row],[Revenue]]</f>
        <v>0.15</v>
      </c>
      <c r="R83" s="8">
        <f>tblSales[[#This Row],[Revenue]]*1.1</f>
        <v>550000</v>
      </c>
    </row>
    <row r="84" spans="1:18">
      <c r="A84" t="s">
        <v>287</v>
      </c>
      <c r="B84" s="7">
        <v>45363</v>
      </c>
      <c r="C84" t="s">
        <v>40</v>
      </c>
      <c r="D84" t="s">
        <v>126</v>
      </c>
      <c r="E84" t="s">
        <v>288</v>
      </c>
      <c r="F84" t="s">
        <v>43</v>
      </c>
      <c r="G84" t="s">
        <v>289</v>
      </c>
      <c r="H84">
        <v>15</v>
      </c>
      <c r="I84" s="8">
        <v>225000</v>
      </c>
      <c r="J84" s="8">
        <v>33750</v>
      </c>
      <c r="K84">
        <v>5</v>
      </c>
      <c r="L84" s="8">
        <v>10000</v>
      </c>
      <c r="M84" t="s">
        <v>31</v>
      </c>
      <c r="N84" s="11" t="str">
        <f>TEXT(tblSales[[#This Row],[Date]],"mmmm")</f>
        <v>March</v>
      </c>
      <c r="O84" s="11" t="str">
        <f>"Q"&amp;ROUNDUP(MONTH(tblSales[[#This Row],[Date]])/3,0)</f>
        <v>Q1</v>
      </c>
      <c r="P84" s="11">
        <f>YEAR(tblSales[[#This Row],[Date]])</f>
        <v>2024</v>
      </c>
      <c r="Q84" s="5">
        <f>tblSales[[#This Row],[Profit]]/tblSales[[#This Row],[Revenue]]</f>
        <v>0.15</v>
      </c>
      <c r="R84" s="8">
        <f>tblSales[[#This Row],[Revenue]]*1.1</f>
        <v>247500</v>
      </c>
    </row>
    <row r="85" spans="1:18">
      <c r="A85" t="s">
        <v>290</v>
      </c>
      <c r="B85" s="7">
        <v>45363</v>
      </c>
      <c r="C85" t="s">
        <v>19</v>
      </c>
      <c r="D85" t="s">
        <v>113</v>
      </c>
      <c r="E85" t="s">
        <v>291</v>
      </c>
      <c r="F85" t="s">
        <v>29</v>
      </c>
      <c r="G85" t="s">
        <v>292</v>
      </c>
      <c r="H85">
        <v>80</v>
      </c>
      <c r="I85" s="8">
        <v>160000</v>
      </c>
      <c r="J85" s="8">
        <v>32000</v>
      </c>
      <c r="K85">
        <v>0</v>
      </c>
      <c r="L85" s="8">
        <v>6000</v>
      </c>
      <c r="M85" t="s">
        <v>24</v>
      </c>
      <c r="N85" s="11" t="str">
        <f>TEXT(tblSales[[#This Row],[Date]],"mmmm")</f>
        <v>March</v>
      </c>
      <c r="O85" s="11" t="str">
        <f>"Q"&amp;ROUNDUP(MONTH(tblSales[[#This Row],[Date]])/3,0)</f>
        <v>Q1</v>
      </c>
      <c r="P85" s="11">
        <f>YEAR(tblSales[[#This Row],[Date]])</f>
        <v>2024</v>
      </c>
      <c r="Q85" s="5">
        <f>tblSales[[#This Row],[Profit]]/tblSales[[#This Row],[Revenue]]</f>
        <v>0.2</v>
      </c>
      <c r="R85" s="8">
        <f>tblSales[[#This Row],[Revenue]]*1.1</f>
        <v>176000</v>
      </c>
    </row>
    <row r="86" spans="1:18">
      <c r="A86" t="s">
        <v>293</v>
      </c>
      <c r="B86" s="7">
        <v>45364</v>
      </c>
      <c r="C86" t="s">
        <v>33</v>
      </c>
      <c r="D86" t="s">
        <v>34</v>
      </c>
      <c r="E86" t="s">
        <v>294</v>
      </c>
      <c r="F86" t="s">
        <v>36</v>
      </c>
      <c r="G86" t="s">
        <v>295</v>
      </c>
      <c r="H86">
        <v>300</v>
      </c>
      <c r="I86" s="8">
        <v>600000</v>
      </c>
      <c r="J86" s="8">
        <v>120000</v>
      </c>
      <c r="K86">
        <v>0</v>
      </c>
      <c r="L86" s="8">
        <v>30000</v>
      </c>
      <c r="M86" t="s">
        <v>38</v>
      </c>
      <c r="N86" s="11" t="str">
        <f>TEXT(tblSales[[#This Row],[Date]],"mmmm")</f>
        <v>March</v>
      </c>
      <c r="O86" s="11" t="str">
        <f>"Q"&amp;ROUNDUP(MONTH(tblSales[[#This Row],[Date]])/3,0)</f>
        <v>Q1</v>
      </c>
      <c r="P86" s="11">
        <f>YEAR(tblSales[[#This Row],[Date]])</f>
        <v>2024</v>
      </c>
      <c r="Q86" s="5">
        <f>tblSales[[#This Row],[Profit]]/tblSales[[#This Row],[Revenue]]</f>
        <v>0.2</v>
      </c>
      <c r="R86" s="8">
        <f>tblSales[[#This Row],[Revenue]]*1.1</f>
        <v>660000</v>
      </c>
    </row>
    <row r="87" spans="1:18">
      <c r="A87" t="s">
        <v>296</v>
      </c>
      <c r="B87" s="7">
        <v>45365</v>
      </c>
      <c r="C87" t="s">
        <v>26</v>
      </c>
      <c r="D87" t="s">
        <v>27</v>
      </c>
      <c r="E87" t="s">
        <v>297</v>
      </c>
      <c r="F87" t="s">
        <v>22</v>
      </c>
      <c r="G87" t="s">
        <v>298</v>
      </c>
      <c r="H87">
        <v>60</v>
      </c>
      <c r="I87" s="8">
        <v>300000</v>
      </c>
      <c r="J87" s="8">
        <v>60000</v>
      </c>
      <c r="K87">
        <v>0</v>
      </c>
      <c r="L87" s="8">
        <v>8000</v>
      </c>
      <c r="M87" t="s">
        <v>24</v>
      </c>
      <c r="N87" s="11" t="str">
        <f>TEXT(tblSales[[#This Row],[Date]],"mmmm")</f>
        <v>March</v>
      </c>
      <c r="O87" s="11" t="str">
        <f>"Q"&amp;ROUNDUP(MONTH(tblSales[[#This Row],[Date]])/3,0)</f>
        <v>Q1</v>
      </c>
      <c r="P87" s="11">
        <f>YEAR(tblSales[[#This Row],[Date]])</f>
        <v>2024</v>
      </c>
      <c r="Q87" s="5">
        <f>tblSales[[#This Row],[Profit]]/tblSales[[#This Row],[Revenue]]</f>
        <v>0.2</v>
      </c>
      <c r="R87" s="8">
        <f>tblSales[[#This Row],[Revenue]]*1.1</f>
        <v>330000</v>
      </c>
    </row>
    <row r="88" spans="1:18">
      <c r="A88" t="s">
        <v>299</v>
      </c>
      <c r="B88" s="7">
        <v>45365</v>
      </c>
      <c r="C88" t="s">
        <v>40</v>
      </c>
      <c r="D88" t="s">
        <v>41</v>
      </c>
      <c r="E88" t="s">
        <v>300</v>
      </c>
      <c r="F88" t="s">
        <v>43</v>
      </c>
      <c r="G88" t="s">
        <v>301</v>
      </c>
      <c r="H88">
        <v>20</v>
      </c>
      <c r="I88" s="8">
        <v>300000</v>
      </c>
      <c r="J88" s="8">
        <v>45000</v>
      </c>
      <c r="K88">
        <v>10</v>
      </c>
      <c r="L88" s="8">
        <v>12000</v>
      </c>
      <c r="M88" t="s">
        <v>31</v>
      </c>
      <c r="N88" s="11" t="str">
        <f>TEXT(tblSales[[#This Row],[Date]],"mmmm")</f>
        <v>March</v>
      </c>
      <c r="O88" s="11" t="str">
        <f>"Q"&amp;ROUNDUP(MONTH(tblSales[[#This Row],[Date]])/3,0)</f>
        <v>Q1</v>
      </c>
      <c r="P88" s="11">
        <f>YEAR(tblSales[[#This Row],[Date]])</f>
        <v>2024</v>
      </c>
      <c r="Q88" s="5">
        <f>tblSales[[#This Row],[Profit]]/tblSales[[#This Row],[Revenue]]</f>
        <v>0.15</v>
      </c>
      <c r="R88" s="8">
        <f>tblSales[[#This Row],[Revenue]]*1.1</f>
        <v>330000</v>
      </c>
    </row>
    <row r="89" spans="1:18">
      <c r="A89" t="s">
        <v>302</v>
      </c>
      <c r="B89" s="7">
        <v>45366</v>
      </c>
      <c r="C89" t="s">
        <v>19</v>
      </c>
      <c r="D89" t="s">
        <v>20</v>
      </c>
      <c r="E89" t="s">
        <v>303</v>
      </c>
      <c r="F89" t="s">
        <v>29</v>
      </c>
      <c r="G89" t="s">
        <v>304</v>
      </c>
      <c r="H89">
        <v>45</v>
      </c>
      <c r="I89" s="8">
        <v>180000</v>
      </c>
      <c r="J89" s="8">
        <v>36000</v>
      </c>
      <c r="K89">
        <v>0</v>
      </c>
      <c r="L89" s="8">
        <v>8000</v>
      </c>
      <c r="M89" t="s">
        <v>24</v>
      </c>
      <c r="N89" s="11" t="str">
        <f>TEXT(tblSales[[#This Row],[Date]],"mmmm")</f>
        <v>March</v>
      </c>
      <c r="O89" s="11" t="str">
        <f>"Q"&amp;ROUNDUP(MONTH(tblSales[[#This Row],[Date]])/3,0)</f>
        <v>Q1</v>
      </c>
      <c r="P89" s="11">
        <f>YEAR(tblSales[[#This Row],[Date]])</f>
        <v>2024</v>
      </c>
      <c r="Q89" s="5">
        <f>tblSales[[#This Row],[Profit]]/tblSales[[#This Row],[Revenue]]</f>
        <v>0.2</v>
      </c>
      <c r="R89" s="8">
        <f>tblSales[[#This Row],[Revenue]]*1.1</f>
        <v>198000</v>
      </c>
    </row>
    <row r="90" spans="1:18">
      <c r="A90" t="s">
        <v>305</v>
      </c>
      <c r="B90" s="7">
        <v>45367</v>
      </c>
      <c r="C90" t="s">
        <v>33</v>
      </c>
      <c r="D90" t="s">
        <v>54</v>
      </c>
      <c r="E90" t="s">
        <v>306</v>
      </c>
      <c r="F90" t="s">
        <v>36</v>
      </c>
      <c r="G90" t="s">
        <v>307</v>
      </c>
      <c r="H90">
        <v>500</v>
      </c>
      <c r="I90" s="8">
        <v>750000</v>
      </c>
      <c r="J90" s="8">
        <v>150000</v>
      </c>
      <c r="K90">
        <v>0</v>
      </c>
      <c r="L90" s="8">
        <v>60000</v>
      </c>
      <c r="M90" t="s">
        <v>38</v>
      </c>
      <c r="N90" s="11" t="str">
        <f>TEXT(tblSales[[#This Row],[Date]],"mmmm")</f>
        <v>March</v>
      </c>
      <c r="O90" s="11" t="str">
        <f>"Q"&amp;ROUNDUP(MONTH(tblSales[[#This Row],[Date]])/3,0)</f>
        <v>Q1</v>
      </c>
      <c r="P90" s="11">
        <f>YEAR(tblSales[[#This Row],[Date]])</f>
        <v>2024</v>
      </c>
      <c r="Q90" s="5">
        <f>tblSales[[#This Row],[Profit]]/tblSales[[#This Row],[Revenue]]</f>
        <v>0.2</v>
      </c>
      <c r="R90" s="8">
        <f>tblSales[[#This Row],[Revenue]]*1.1</f>
        <v>825000</v>
      </c>
    </row>
    <row r="91" spans="1:18">
      <c r="A91" t="s">
        <v>308</v>
      </c>
      <c r="B91" s="7">
        <v>45367</v>
      </c>
      <c r="C91" t="s">
        <v>26</v>
      </c>
      <c r="D91" t="s">
        <v>46</v>
      </c>
      <c r="E91" t="s">
        <v>309</v>
      </c>
      <c r="F91" t="s">
        <v>22</v>
      </c>
      <c r="G91" t="s">
        <v>310</v>
      </c>
      <c r="H91">
        <v>3</v>
      </c>
      <c r="I91" s="8">
        <v>300000</v>
      </c>
      <c r="J91" s="8">
        <v>45000</v>
      </c>
      <c r="K91">
        <v>5</v>
      </c>
      <c r="L91" s="8">
        <v>12000</v>
      </c>
      <c r="M91" t="s">
        <v>24</v>
      </c>
      <c r="N91" s="11" t="str">
        <f>TEXT(tblSales[[#This Row],[Date]],"mmmm")</f>
        <v>March</v>
      </c>
      <c r="O91" s="11" t="str">
        <f>"Q"&amp;ROUNDUP(MONTH(tblSales[[#This Row],[Date]])/3,0)</f>
        <v>Q1</v>
      </c>
      <c r="P91" s="11">
        <f>YEAR(tblSales[[#This Row],[Date]])</f>
        <v>2024</v>
      </c>
      <c r="Q91" s="5">
        <f>tblSales[[#This Row],[Profit]]/tblSales[[#This Row],[Revenue]]</f>
        <v>0.15</v>
      </c>
      <c r="R91" s="8">
        <f>tblSales[[#This Row],[Revenue]]*1.1</f>
        <v>330000</v>
      </c>
    </row>
    <row r="92" spans="1:18">
      <c r="A92" t="s">
        <v>311</v>
      </c>
      <c r="B92" s="7">
        <v>45368</v>
      </c>
      <c r="C92" t="s">
        <v>40</v>
      </c>
      <c r="D92" t="s">
        <v>93</v>
      </c>
      <c r="E92" t="s">
        <v>312</v>
      </c>
      <c r="F92" t="s">
        <v>43</v>
      </c>
      <c r="G92" t="s">
        <v>313</v>
      </c>
      <c r="H92">
        <v>12</v>
      </c>
      <c r="I92" s="8">
        <v>180000</v>
      </c>
      <c r="J92" s="8">
        <v>27000</v>
      </c>
      <c r="K92">
        <v>0</v>
      </c>
      <c r="L92" s="8">
        <v>8000</v>
      </c>
      <c r="M92" t="s">
        <v>31</v>
      </c>
      <c r="N92" s="11" t="str">
        <f>TEXT(tblSales[[#This Row],[Date]],"mmmm")</f>
        <v>March</v>
      </c>
      <c r="O92" s="11" t="str">
        <f>"Q"&amp;ROUNDUP(MONTH(tblSales[[#This Row],[Date]])/3,0)</f>
        <v>Q1</v>
      </c>
      <c r="P92" s="11">
        <f>YEAR(tblSales[[#This Row],[Date]])</f>
        <v>2024</v>
      </c>
      <c r="Q92" s="5">
        <f>tblSales[[#This Row],[Profit]]/tblSales[[#This Row],[Revenue]]</f>
        <v>0.15</v>
      </c>
      <c r="R92" s="8">
        <f>tblSales[[#This Row],[Revenue]]*1.1</f>
        <v>198000</v>
      </c>
    </row>
    <row r="93" spans="1:18">
      <c r="A93" t="s">
        <v>314</v>
      </c>
      <c r="B93" s="7">
        <v>45369</v>
      </c>
      <c r="C93" t="s">
        <v>19</v>
      </c>
      <c r="D93" t="s">
        <v>50</v>
      </c>
      <c r="E93" t="s">
        <v>315</v>
      </c>
      <c r="F93" t="s">
        <v>29</v>
      </c>
      <c r="G93" t="s">
        <v>316</v>
      </c>
      <c r="H93">
        <v>60</v>
      </c>
      <c r="I93" s="8">
        <v>360000</v>
      </c>
      <c r="J93" s="8">
        <v>72000</v>
      </c>
      <c r="K93">
        <v>0</v>
      </c>
      <c r="L93" s="8">
        <v>10000</v>
      </c>
      <c r="M93" t="s">
        <v>24</v>
      </c>
      <c r="N93" s="11" t="str">
        <f>TEXT(tblSales[[#This Row],[Date]],"mmmm")</f>
        <v>March</v>
      </c>
      <c r="O93" s="11" t="str">
        <f>"Q"&amp;ROUNDUP(MONTH(tblSales[[#This Row],[Date]])/3,0)</f>
        <v>Q1</v>
      </c>
      <c r="P93" s="11">
        <f>YEAR(tblSales[[#This Row],[Date]])</f>
        <v>2024</v>
      </c>
      <c r="Q93" s="5">
        <f>tblSales[[#This Row],[Profit]]/tblSales[[#This Row],[Revenue]]</f>
        <v>0.2</v>
      </c>
      <c r="R93" s="8">
        <f>tblSales[[#This Row],[Revenue]]*1.1</f>
        <v>396000</v>
      </c>
    </row>
    <row r="94" spans="1:18">
      <c r="A94" t="s">
        <v>317</v>
      </c>
      <c r="B94" s="7">
        <v>45369</v>
      </c>
      <c r="C94" t="s">
        <v>33</v>
      </c>
      <c r="D94" t="s">
        <v>34</v>
      </c>
      <c r="E94" t="s">
        <v>318</v>
      </c>
      <c r="F94" t="s">
        <v>36</v>
      </c>
      <c r="G94" t="s">
        <v>319</v>
      </c>
      <c r="H94">
        <v>180</v>
      </c>
      <c r="I94" s="8">
        <v>630000</v>
      </c>
      <c r="J94" s="8">
        <v>126000</v>
      </c>
      <c r="K94">
        <v>0</v>
      </c>
      <c r="L94" s="8">
        <v>25000</v>
      </c>
      <c r="M94" t="s">
        <v>38</v>
      </c>
      <c r="N94" s="11" t="str">
        <f>TEXT(tblSales[[#This Row],[Date]],"mmmm")</f>
        <v>March</v>
      </c>
      <c r="O94" s="11" t="str">
        <f>"Q"&amp;ROUNDUP(MONTH(tblSales[[#This Row],[Date]])/3,0)</f>
        <v>Q1</v>
      </c>
      <c r="P94" s="11">
        <f>YEAR(tblSales[[#This Row],[Date]])</f>
        <v>2024</v>
      </c>
      <c r="Q94" s="5">
        <f>tblSales[[#This Row],[Profit]]/tblSales[[#This Row],[Revenue]]</f>
        <v>0.2</v>
      </c>
      <c r="R94" s="8">
        <f>tblSales[[#This Row],[Revenue]]*1.1</f>
        <v>693000</v>
      </c>
    </row>
    <row r="95" spans="1:18">
      <c r="A95" t="s">
        <v>320</v>
      </c>
      <c r="B95" s="7">
        <v>45370</v>
      </c>
      <c r="C95" t="s">
        <v>26</v>
      </c>
      <c r="D95" t="s">
        <v>27</v>
      </c>
      <c r="E95" t="s">
        <v>321</v>
      </c>
      <c r="F95" t="s">
        <v>22</v>
      </c>
      <c r="G95" t="s">
        <v>322</v>
      </c>
      <c r="H95">
        <v>10</v>
      </c>
      <c r="I95" s="8">
        <v>400000</v>
      </c>
      <c r="J95" s="8">
        <v>60000</v>
      </c>
      <c r="K95">
        <v>10</v>
      </c>
      <c r="L95" s="8">
        <v>12000</v>
      </c>
      <c r="M95" t="s">
        <v>24</v>
      </c>
      <c r="N95" s="11" t="str">
        <f>TEXT(tblSales[[#This Row],[Date]],"mmmm")</f>
        <v>March</v>
      </c>
      <c r="O95" s="11" t="str">
        <f>"Q"&amp;ROUNDUP(MONTH(tblSales[[#This Row],[Date]])/3,0)</f>
        <v>Q1</v>
      </c>
      <c r="P95" s="11">
        <f>YEAR(tblSales[[#This Row],[Date]])</f>
        <v>2024</v>
      </c>
      <c r="Q95" s="5">
        <f>tblSales[[#This Row],[Profit]]/tblSales[[#This Row],[Revenue]]</f>
        <v>0.15</v>
      </c>
      <c r="R95" s="8">
        <f>tblSales[[#This Row],[Revenue]]*1.1</f>
        <v>440000</v>
      </c>
    </row>
    <row r="96" spans="1:18">
      <c r="A96" t="s">
        <v>323</v>
      </c>
      <c r="B96" s="7">
        <v>45371</v>
      </c>
      <c r="C96" t="s">
        <v>40</v>
      </c>
      <c r="D96" t="s">
        <v>61</v>
      </c>
      <c r="E96" t="s">
        <v>324</v>
      </c>
      <c r="F96" t="s">
        <v>43</v>
      </c>
      <c r="G96" t="s">
        <v>325</v>
      </c>
      <c r="H96">
        <v>8</v>
      </c>
      <c r="I96" s="8">
        <v>120000</v>
      </c>
      <c r="J96" s="8">
        <v>18000</v>
      </c>
      <c r="K96">
        <v>0</v>
      </c>
      <c r="L96" s="8">
        <v>6000</v>
      </c>
      <c r="M96" t="s">
        <v>31</v>
      </c>
      <c r="N96" s="11" t="str">
        <f>TEXT(tblSales[[#This Row],[Date]],"mmmm")</f>
        <v>March</v>
      </c>
      <c r="O96" s="11" t="str">
        <f>"Q"&amp;ROUNDUP(MONTH(tblSales[[#This Row],[Date]])/3,0)</f>
        <v>Q1</v>
      </c>
      <c r="P96" s="11">
        <f>YEAR(tblSales[[#This Row],[Date]])</f>
        <v>2024</v>
      </c>
      <c r="Q96" s="5">
        <f>tblSales[[#This Row],[Profit]]/tblSales[[#This Row],[Revenue]]</f>
        <v>0.15</v>
      </c>
      <c r="R96" s="8">
        <f>tblSales[[#This Row],[Revenue]]*1.1</f>
        <v>132000</v>
      </c>
    </row>
    <row r="97" spans="1:18">
      <c r="A97" t="s">
        <v>326</v>
      </c>
      <c r="B97" s="7">
        <v>45371</v>
      </c>
      <c r="C97" t="s">
        <v>19</v>
      </c>
      <c r="D97" t="s">
        <v>20</v>
      </c>
      <c r="E97" t="s">
        <v>327</v>
      </c>
      <c r="F97" t="s">
        <v>29</v>
      </c>
      <c r="G97" t="s">
        <v>328</v>
      </c>
      <c r="H97">
        <v>95</v>
      </c>
      <c r="I97" s="8">
        <v>237500</v>
      </c>
      <c r="J97" s="8">
        <v>47500</v>
      </c>
      <c r="K97">
        <v>0</v>
      </c>
      <c r="L97" s="8">
        <v>8000</v>
      </c>
      <c r="M97" t="s">
        <v>24</v>
      </c>
      <c r="N97" s="11" t="str">
        <f>TEXT(tblSales[[#This Row],[Date]],"mmmm")</f>
        <v>March</v>
      </c>
      <c r="O97" s="11" t="str">
        <f>"Q"&amp;ROUNDUP(MONTH(tblSales[[#This Row],[Date]])/3,0)</f>
        <v>Q1</v>
      </c>
      <c r="P97" s="11">
        <f>YEAR(tblSales[[#This Row],[Date]])</f>
        <v>2024</v>
      </c>
      <c r="Q97" s="5">
        <f>tblSales[[#This Row],[Profit]]/tblSales[[#This Row],[Revenue]]</f>
        <v>0.2</v>
      </c>
      <c r="R97" s="8">
        <f>tblSales[[#This Row],[Revenue]]*1.1</f>
        <v>261250</v>
      </c>
    </row>
    <row r="98" spans="1:18">
      <c r="A98" t="s">
        <v>329</v>
      </c>
      <c r="B98" s="7">
        <v>45372</v>
      </c>
      <c r="C98" t="s">
        <v>33</v>
      </c>
      <c r="D98" t="s">
        <v>54</v>
      </c>
      <c r="E98" t="s">
        <v>330</v>
      </c>
      <c r="F98" t="s">
        <v>36</v>
      </c>
      <c r="G98" t="s">
        <v>331</v>
      </c>
      <c r="H98">
        <v>250</v>
      </c>
      <c r="I98" s="8">
        <v>625000</v>
      </c>
      <c r="J98" s="8">
        <v>125000</v>
      </c>
      <c r="K98">
        <v>0</v>
      </c>
      <c r="L98" s="8">
        <v>35000</v>
      </c>
      <c r="M98" t="s">
        <v>38</v>
      </c>
      <c r="N98" s="11" t="str">
        <f>TEXT(tblSales[[#This Row],[Date]],"mmmm")</f>
        <v>March</v>
      </c>
      <c r="O98" s="11" t="str">
        <f>"Q"&amp;ROUNDUP(MONTH(tblSales[[#This Row],[Date]])/3,0)</f>
        <v>Q1</v>
      </c>
      <c r="P98" s="11">
        <f>YEAR(tblSales[[#This Row],[Date]])</f>
        <v>2024</v>
      </c>
      <c r="Q98" s="5">
        <f>tblSales[[#This Row],[Profit]]/tblSales[[#This Row],[Revenue]]</f>
        <v>0.2</v>
      </c>
      <c r="R98" s="8">
        <f>tblSales[[#This Row],[Revenue]]*1.1</f>
        <v>687500</v>
      </c>
    </row>
    <row r="99" spans="1:18">
      <c r="A99" t="s">
        <v>332</v>
      </c>
      <c r="B99" s="7">
        <v>45373</v>
      </c>
      <c r="C99" t="s">
        <v>26</v>
      </c>
      <c r="D99" t="s">
        <v>71</v>
      </c>
      <c r="E99" t="s">
        <v>333</v>
      </c>
      <c r="F99" t="s">
        <v>22</v>
      </c>
      <c r="G99" t="s">
        <v>334</v>
      </c>
      <c r="H99">
        <v>50</v>
      </c>
      <c r="I99" s="8">
        <v>125000</v>
      </c>
      <c r="J99" s="8">
        <v>25000</v>
      </c>
      <c r="K99">
        <v>0</v>
      </c>
      <c r="L99" s="8">
        <v>5000</v>
      </c>
      <c r="M99" t="s">
        <v>24</v>
      </c>
      <c r="N99" s="11" t="str">
        <f>TEXT(tblSales[[#This Row],[Date]],"mmmm")</f>
        <v>March</v>
      </c>
      <c r="O99" s="11" t="str">
        <f>"Q"&amp;ROUNDUP(MONTH(tblSales[[#This Row],[Date]])/3,0)</f>
        <v>Q1</v>
      </c>
      <c r="P99" s="11">
        <f>YEAR(tblSales[[#This Row],[Date]])</f>
        <v>2024</v>
      </c>
      <c r="Q99" s="5">
        <f>tblSales[[#This Row],[Profit]]/tblSales[[#This Row],[Revenue]]</f>
        <v>0.2</v>
      </c>
      <c r="R99" s="8">
        <f>tblSales[[#This Row],[Revenue]]*1.1</f>
        <v>137500</v>
      </c>
    </row>
    <row r="100" spans="1:18">
      <c r="A100" t="s">
        <v>335</v>
      </c>
      <c r="B100" s="7">
        <v>45373</v>
      </c>
      <c r="C100" t="s">
        <v>40</v>
      </c>
      <c r="D100" t="s">
        <v>41</v>
      </c>
      <c r="E100" t="s">
        <v>336</v>
      </c>
      <c r="F100" t="s">
        <v>29</v>
      </c>
      <c r="G100" t="s">
        <v>337</v>
      </c>
      <c r="H100">
        <v>85</v>
      </c>
      <c r="I100" s="8">
        <v>212500</v>
      </c>
      <c r="J100" s="8">
        <v>42500</v>
      </c>
      <c r="K100">
        <v>0</v>
      </c>
      <c r="L100" s="8">
        <v>10000</v>
      </c>
      <c r="M100" t="s">
        <v>31</v>
      </c>
      <c r="N100" s="11" t="str">
        <f>TEXT(tblSales[[#This Row],[Date]],"mmmm")</f>
        <v>March</v>
      </c>
      <c r="O100" s="11" t="str">
        <f>"Q"&amp;ROUNDUP(MONTH(tblSales[[#This Row],[Date]])/3,0)</f>
        <v>Q1</v>
      </c>
      <c r="P100" s="11">
        <f>YEAR(tblSales[[#This Row],[Date]])</f>
        <v>2024</v>
      </c>
      <c r="Q100" s="5">
        <f>tblSales[[#This Row],[Profit]]/tblSales[[#This Row],[Revenue]]</f>
        <v>0.2</v>
      </c>
      <c r="R100" s="8">
        <f>tblSales[[#This Row],[Revenue]]*1.1</f>
        <v>233750</v>
      </c>
    </row>
    <row r="101" spans="1:18">
      <c r="A101" t="s">
        <v>338</v>
      </c>
      <c r="B101" s="7">
        <v>45374</v>
      </c>
      <c r="C101" t="s">
        <v>19</v>
      </c>
      <c r="D101" t="s">
        <v>100</v>
      </c>
      <c r="E101" t="s">
        <v>339</v>
      </c>
      <c r="F101" t="s">
        <v>43</v>
      </c>
      <c r="G101" t="s">
        <v>340</v>
      </c>
      <c r="H101">
        <v>9</v>
      </c>
      <c r="I101" s="8">
        <v>270000</v>
      </c>
      <c r="J101" s="8">
        <v>40500</v>
      </c>
      <c r="K101">
        <v>5</v>
      </c>
      <c r="L101" s="8">
        <v>12000</v>
      </c>
      <c r="M101" t="s">
        <v>24</v>
      </c>
      <c r="N101" s="11" t="str">
        <f>TEXT(tblSales[[#This Row],[Date]],"mmmm")</f>
        <v>March</v>
      </c>
      <c r="O101" s="11" t="str">
        <f>"Q"&amp;ROUNDUP(MONTH(tblSales[[#This Row],[Date]])/3,0)</f>
        <v>Q1</v>
      </c>
      <c r="P101" s="11">
        <f>YEAR(tblSales[[#This Row],[Date]])</f>
        <v>2024</v>
      </c>
      <c r="Q101" s="5">
        <f>tblSales[[#This Row],[Profit]]/tblSales[[#This Row],[Revenue]]</f>
        <v>0.15</v>
      </c>
      <c r="R101" s="8">
        <f>tblSales[[#This Row],[Revenue]]*1.1</f>
        <v>297000</v>
      </c>
    </row>
    <row r="102" spans="1:18">
      <c r="A102" t="s">
        <v>341</v>
      </c>
      <c r="B102" s="7">
        <v>45375</v>
      </c>
      <c r="C102" t="s">
        <v>33</v>
      </c>
      <c r="D102" t="s">
        <v>34</v>
      </c>
      <c r="E102" t="s">
        <v>342</v>
      </c>
      <c r="F102" t="s">
        <v>36</v>
      </c>
      <c r="G102" t="s">
        <v>343</v>
      </c>
      <c r="H102">
        <v>65</v>
      </c>
      <c r="I102" s="8">
        <v>487500</v>
      </c>
      <c r="J102" s="8">
        <v>97500</v>
      </c>
      <c r="K102">
        <v>0</v>
      </c>
      <c r="L102" s="8">
        <v>15000</v>
      </c>
      <c r="M102" t="s">
        <v>38</v>
      </c>
      <c r="N102" s="11" t="str">
        <f>TEXT(tblSales[[#This Row],[Date]],"mmmm")</f>
        <v>March</v>
      </c>
      <c r="O102" s="11" t="str">
        <f>"Q"&amp;ROUNDUP(MONTH(tblSales[[#This Row],[Date]])/3,0)</f>
        <v>Q1</v>
      </c>
      <c r="P102" s="11">
        <f>YEAR(tblSales[[#This Row],[Date]])</f>
        <v>2024</v>
      </c>
      <c r="Q102" s="5">
        <f>tblSales[[#This Row],[Profit]]/tblSales[[#This Row],[Revenue]]</f>
        <v>0.2</v>
      </c>
      <c r="R102" s="8">
        <f>tblSales[[#This Row],[Revenue]]*1.1</f>
        <v>536250</v>
      </c>
    </row>
    <row r="103" spans="1:18">
      <c r="A103" t="s">
        <v>344</v>
      </c>
      <c r="B103" s="7">
        <v>45375</v>
      </c>
      <c r="C103" t="s">
        <v>26</v>
      </c>
      <c r="D103" t="s">
        <v>27</v>
      </c>
      <c r="E103" t="s">
        <v>345</v>
      </c>
      <c r="F103" t="s">
        <v>22</v>
      </c>
      <c r="G103" t="s">
        <v>346</v>
      </c>
      <c r="H103">
        <v>150</v>
      </c>
      <c r="I103" s="8">
        <v>225000</v>
      </c>
      <c r="J103" s="8">
        <v>45000</v>
      </c>
      <c r="K103">
        <v>0</v>
      </c>
      <c r="L103" s="8">
        <v>10000</v>
      </c>
      <c r="M103" t="s">
        <v>24</v>
      </c>
      <c r="N103" s="11" t="str">
        <f>TEXT(tblSales[[#This Row],[Date]],"mmmm")</f>
        <v>March</v>
      </c>
      <c r="O103" s="11" t="str">
        <f>"Q"&amp;ROUNDUP(MONTH(tblSales[[#This Row],[Date]])/3,0)</f>
        <v>Q1</v>
      </c>
      <c r="P103" s="11">
        <f>YEAR(tblSales[[#This Row],[Date]])</f>
        <v>2024</v>
      </c>
      <c r="Q103" s="5">
        <f>tblSales[[#This Row],[Profit]]/tblSales[[#This Row],[Revenue]]</f>
        <v>0.2</v>
      </c>
      <c r="R103" s="8">
        <f>tblSales[[#This Row],[Revenue]]*1.1</f>
        <v>247500</v>
      </c>
    </row>
    <row r="104" spans="1:18">
      <c r="A104" t="s">
        <v>347</v>
      </c>
      <c r="B104" s="7">
        <v>45376</v>
      </c>
      <c r="C104" t="s">
        <v>40</v>
      </c>
      <c r="D104" t="s">
        <v>126</v>
      </c>
      <c r="E104" t="s">
        <v>348</v>
      </c>
      <c r="F104" t="s">
        <v>29</v>
      </c>
      <c r="G104" t="s">
        <v>349</v>
      </c>
      <c r="H104">
        <v>20</v>
      </c>
      <c r="I104" s="8">
        <v>350000</v>
      </c>
      <c r="J104" s="8">
        <v>70000</v>
      </c>
      <c r="K104">
        <v>0</v>
      </c>
      <c r="L104" s="8">
        <v>12000</v>
      </c>
      <c r="M104" t="s">
        <v>31</v>
      </c>
      <c r="N104" s="11" t="str">
        <f>TEXT(tblSales[[#This Row],[Date]],"mmmm")</f>
        <v>March</v>
      </c>
      <c r="O104" s="11" t="str">
        <f>"Q"&amp;ROUNDUP(MONTH(tblSales[[#This Row],[Date]])/3,0)</f>
        <v>Q1</v>
      </c>
      <c r="P104" s="11">
        <f>YEAR(tblSales[[#This Row],[Date]])</f>
        <v>2024</v>
      </c>
      <c r="Q104" s="5">
        <f>tblSales[[#This Row],[Profit]]/tblSales[[#This Row],[Revenue]]</f>
        <v>0.2</v>
      </c>
      <c r="R104" s="8">
        <f>tblSales[[#This Row],[Revenue]]*1.1</f>
        <v>385000</v>
      </c>
    </row>
    <row r="105" spans="1:18">
      <c r="A105" t="s">
        <v>350</v>
      </c>
      <c r="B105" s="7">
        <v>45377</v>
      </c>
      <c r="C105" t="s">
        <v>19</v>
      </c>
      <c r="D105" t="s">
        <v>20</v>
      </c>
      <c r="E105" t="s">
        <v>351</v>
      </c>
      <c r="F105" t="s">
        <v>43</v>
      </c>
      <c r="G105" t="s">
        <v>352</v>
      </c>
      <c r="H105">
        <v>18</v>
      </c>
      <c r="I105" s="8">
        <v>450000</v>
      </c>
      <c r="J105" s="8">
        <v>67500</v>
      </c>
      <c r="K105">
        <v>10</v>
      </c>
      <c r="L105" s="8">
        <v>15000</v>
      </c>
      <c r="M105" t="s">
        <v>24</v>
      </c>
      <c r="N105" s="11" t="str">
        <f>TEXT(tblSales[[#This Row],[Date]],"mmmm")</f>
        <v>March</v>
      </c>
      <c r="O105" s="11" t="str">
        <f>"Q"&amp;ROUNDUP(MONTH(tblSales[[#This Row],[Date]])/3,0)</f>
        <v>Q1</v>
      </c>
      <c r="P105" s="11">
        <f>YEAR(tblSales[[#This Row],[Date]])</f>
        <v>2024</v>
      </c>
      <c r="Q105" s="5">
        <f>tblSales[[#This Row],[Profit]]/tblSales[[#This Row],[Revenue]]</f>
        <v>0.15</v>
      </c>
      <c r="R105" s="8">
        <f>tblSales[[#This Row],[Revenue]]*1.1</f>
        <v>495000</v>
      </c>
    </row>
    <row r="106" spans="1:18">
      <c r="A106" t="s">
        <v>353</v>
      </c>
      <c r="B106" s="7">
        <v>45377</v>
      </c>
      <c r="C106" t="s">
        <v>33</v>
      </c>
      <c r="D106" t="s">
        <v>54</v>
      </c>
      <c r="E106" t="s">
        <v>354</v>
      </c>
      <c r="F106" t="s">
        <v>36</v>
      </c>
      <c r="G106" t="s">
        <v>355</v>
      </c>
      <c r="H106">
        <v>120</v>
      </c>
      <c r="I106" s="8">
        <v>480000</v>
      </c>
      <c r="J106" s="8">
        <v>96000</v>
      </c>
      <c r="K106">
        <v>0</v>
      </c>
      <c r="L106" s="8">
        <v>18000</v>
      </c>
      <c r="M106" t="s">
        <v>38</v>
      </c>
      <c r="N106" s="11" t="str">
        <f>TEXT(tblSales[[#This Row],[Date]],"mmmm")</f>
        <v>March</v>
      </c>
      <c r="O106" s="11" t="str">
        <f>"Q"&amp;ROUNDUP(MONTH(tblSales[[#This Row],[Date]])/3,0)</f>
        <v>Q1</v>
      </c>
      <c r="P106" s="11">
        <f>YEAR(tblSales[[#This Row],[Date]])</f>
        <v>2024</v>
      </c>
      <c r="Q106" s="5">
        <f>tblSales[[#This Row],[Profit]]/tblSales[[#This Row],[Revenue]]</f>
        <v>0.2</v>
      </c>
      <c r="R106" s="8">
        <f>tblSales[[#This Row],[Revenue]]*1.1</f>
        <v>528000</v>
      </c>
    </row>
    <row r="107" spans="1:18">
      <c r="A107" t="s">
        <v>356</v>
      </c>
      <c r="B107" s="7">
        <v>45378</v>
      </c>
      <c r="C107" t="s">
        <v>26</v>
      </c>
      <c r="D107" t="s">
        <v>46</v>
      </c>
      <c r="E107" t="s">
        <v>357</v>
      </c>
      <c r="F107" t="s">
        <v>22</v>
      </c>
      <c r="G107" t="s">
        <v>358</v>
      </c>
      <c r="H107">
        <v>200</v>
      </c>
      <c r="I107" s="8">
        <v>200000</v>
      </c>
      <c r="J107" s="8">
        <v>40000</v>
      </c>
      <c r="K107">
        <v>0</v>
      </c>
      <c r="L107" s="8">
        <v>8000</v>
      </c>
      <c r="M107" t="s">
        <v>24</v>
      </c>
      <c r="N107" s="11" t="str">
        <f>TEXT(tblSales[[#This Row],[Date]],"mmmm")</f>
        <v>March</v>
      </c>
      <c r="O107" s="11" t="str">
        <f>"Q"&amp;ROUNDUP(MONTH(tblSales[[#This Row],[Date]])/3,0)</f>
        <v>Q1</v>
      </c>
      <c r="P107" s="11">
        <f>YEAR(tblSales[[#This Row],[Date]])</f>
        <v>2024</v>
      </c>
      <c r="Q107" s="5">
        <f>tblSales[[#This Row],[Profit]]/tblSales[[#This Row],[Revenue]]</f>
        <v>0.2</v>
      </c>
      <c r="R107" s="8">
        <f>tblSales[[#This Row],[Revenue]]*1.1</f>
        <v>220000</v>
      </c>
    </row>
    <row r="108" spans="1:18">
      <c r="A108" t="s">
        <v>359</v>
      </c>
      <c r="B108" s="7">
        <v>45379</v>
      </c>
      <c r="C108" t="s">
        <v>40</v>
      </c>
      <c r="D108" t="s">
        <v>41</v>
      </c>
      <c r="E108" t="s">
        <v>360</v>
      </c>
      <c r="F108" t="s">
        <v>29</v>
      </c>
      <c r="G108" t="s">
        <v>361</v>
      </c>
      <c r="H108">
        <v>3</v>
      </c>
      <c r="I108" s="8">
        <v>450000</v>
      </c>
      <c r="J108" s="8">
        <v>67500</v>
      </c>
      <c r="K108">
        <v>0</v>
      </c>
      <c r="L108" s="8">
        <v>15000</v>
      </c>
      <c r="M108" t="s">
        <v>31</v>
      </c>
      <c r="N108" s="11" t="str">
        <f>TEXT(tblSales[[#This Row],[Date]],"mmmm")</f>
        <v>March</v>
      </c>
      <c r="O108" s="11" t="str">
        <f>"Q"&amp;ROUNDUP(MONTH(tblSales[[#This Row],[Date]])/3,0)</f>
        <v>Q1</v>
      </c>
      <c r="P108" s="11">
        <f>YEAR(tblSales[[#This Row],[Date]])</f>
        <v>2024</v>
      </c>
      <c r="Q108" s="5">
        <f>tblSales[[#This Row],[Profit]]/tblSales[[#This Row],[Revenue]]</f>
        <v>0.15</v>
      </c>
      <c r="R108" s="8">
        <f>tblSales[[#This Row],[Revenue]]*1.1</f>
        <v>495000</v>
      </c>
    </row>
    <row r="109" spans="1:18">
      <c r="A109" t="s">
        <v>362</v>
      </c>
      <c r="B109" s="7">
        <v>45379</v>
      </c>
      <c r="C109" t="s">
        <v>19</v>
      </c>
      <c r="D109" t="s">
        <v>50</v>
      </c>
      <c r="E109" t="s">
        <v>363</v>
      </c>
      <c r="F109" t="s">
        <v>43</v>
      </c>
      <c r="G109" t="s">
        <v>364</v>
      </c>
      <c r="H109">
        <v>15</v>
      </c>
      <c r="I109" s="8">
        <v>300000</v>
      </c>
      <c r="J109" s="8">
        <v>45000</v>
      </c>
      <c r="K109">
        <v>5</v>
      </c>
      <c r="L109" s="8">
        <v>12000</v>
      </c>
      <c r="M109" t="s">
        <v>24</v>
      </c>
      <c r="N109" s="11" t="str">
        <f>TEXT(tblSales[[#This Row],[Date]],"mmmm")</f>
        <v>March</v>
      </c>
      <c r="O109" s="11" t="str">
        <f>"Q"&amp;ROUNDUP(MONTH(tblSales[[#This Row],[Date]])/3,0)</f>
        <v>Q1</v>
      </c>
      <c r="P109" s="11">
        <f>YEAR(tblSales[[#This Row],[Date]])</f>
        <v>2024</v>
      </c>
      <c r="Q109" s="5">
        <f>tblSales[[#This Row],[Profit]]/tblSales[[#This Row],[Revenue]]</f>
        <v>0.15</v>
      </c>
      <c r="R109" s="8">
        <f>tblSales[[#This Row],[Revenue]]*1.1</f>
        <v>330000</v>
      </c>
    </row>
    <row r="110" spans="1:18">
      <c r="A110" t="s">
        <v>365</v>
      </c>
      <c r="B110" s="7">
        <v>45380</v>
      </c>
      <c r="C110" t="s">
        <v>33</v>
      </c>
      <c r="D110" t="s">
        <v>34</v>
      </c>
      <c r="E110" t="s">
        <v>366</v>
      </c>
      <c r="F110" t="s">
        <v>36</v>
      </c>
      <c r="G110" t="s">
        <v>367</v>
      </c>
      <c r="H110">
        <v>75</v>
      </c>
      <c r="I110" s="8">
        <v>300000</v>
      </c>
      <c r="J110" s="8">
        <v>60000</v>
      </c>
      <c r="K110">
        <v>0</v>
      </c>
      <c r="L110" s="8">
        <v>10000</v>
      </c>
      <c r="M110" t="s">
        <v>38</v>
      </c>
      <c r="N110" s="11" t="str">
        <f>TEXT(tblSales[[#This Row],[Date]],"mmmm")</f>
        <v>March</v>
      </c>
      <c r="O110" s="11" t="str">
        <f>"Q"&amp;ROUNDUP(MONTH(tblSales[[#This Row],[Date]])/3,0)</f>
        <v>Q1</v>
      </c>
      <c r="P110" s="11">
        <f>YEAR(tblSales[[#This Row],[Date]])</f>
        <v>2024</v>
      </c>
      <c r="Q110" s="5">
        <f>tblSales[[#This Row],[Profit]]/tblSales[[#This Row],[Revenue]]</f>
        <v>0.2</v>
      </c>
      <c r="R110" s="8">
        <f>tblSales[[#This Row],[Revenue]]*1.1</f>
        <v>330000</v>
      </c>
    </row>
    <row r="111" spans="1:18">
      <c r="A111" t="s">
        <v>368</v>
      </c>
      <c r="B111" s="7">
        <v>45381</v>
      </c>
      <c r="C111" t="s">
        <v>26</v>
      </c>
      <c r="D111" t="s">
        <v>27</v>
      </c>
      <c r="E111" t="s">
        <v>369</v>
      </c>
      <c r="F111" t="s">
        <v>22</v>
      </c>
      <c r="G111" t="s">
        <v>370</v>
      </c>
      <c r="H111">
        <v>90</v>
      </c>
      <c r="I111" s="8">
        <v>225000</v>
      </c>
      <c r="J111" s="8">
        <v>45000</v>
      </c>
      <c r="K111">
        <v>0</v>
      </c>
      <c r="L111" s="8">
        <v>8000</v>
      </c>
      <c r="M111" t="s">
        <v>24</v>
      </c>
      <c r="N111" s="11" t="str">
        <f>TEXT(tblSales[[#This Row],[Date]],"mmmm")</f>
        <v>March</v>
      </c>
      <c r="O111" s="11" t="str">
        <f>"Q"&amp;ROUNDUP(MONTH(tblSales[[#This Row],[Date]])/3,0)</f>
        <v>Q1</v>
      </c>
      <c r="P111" s="11">
        <f>YEAR(tblSales[[#This Row],[Date]])</f>
        <v>2024</v>
      </c>
      <c r="Q111" s="5">
        <f>tblSales[[#This Row],[Profit]]/tblSales[[#This Row],[Revenue]]</f>
        <v>0.2</v>
      </c>
      <c r="R111" s="8">
        <f>tblSales[[#This Row],[Revenue]]*1.1</f>
        <v>247500</v>
      </c>
    </row>
    <row r="112" spans="1:18">
      <c r="A112" t="s">
        <v>371</v>
      </c>
      <c r="B112" s="7">
        <v>45381</v>
      </c>
      <c r="C112" t="s">
        <v>40</v>
      </c>
      <c r="D112" t="s">
        <v>93</v>
      </c>
      <c r="E112" t="s">
        <v>372</v>
      </c>
      <c r="F112" t="s">
        <v>29</v>
      </c>
      <c r="G112" t="s">
        <v>373</v>
      </c>
      <c r="H112">
        <v>50</v>
      </c>
      <c r="I112" s="8">
        <v>125000</v>
      </c>
      <c r="J112" s="8">
        <v>25000</v>
      </c>
      <c r="K112">
        <v>0</v>
      </c>
      <c r="L112" s="8">
        <v>5000</v>
      </c>
      <c r="M112" t="s">
        <v>31</v>
      </c>
      <c r="N112" s="11" t="str">
        <f>TEXT(tblSales[[#This Row],[Date]],"mmmm")</f>
        <v>March</v>
      </c>
      <c r="O112" s="11" t="str">
        <f>"Q"&amp;ROUNDUP(MONTH(tblSales[[#This Row],[Date]])/3,0)</f>
        <v>Q1</v>
      </c>
      <c r="P112" s="11">
        <f>YEAR(tblSales[[#This Row],[Date]])</f>
        <v>2024</v>
      </c>
      <c r="Q112" s="5">
        <f>tblSales[[#This Row],[Profit]]/tblSales[[#This Row],[Revenue]]</f>
        <v>0.2</v>
      </c>
      <c r="R112" s="8">
        <f>tblSales[[#This Row],[Revenue]]*1.1</f>
        <v>137500</v>
      </c>
    </row>
    <row r="113" spans="1:18">
      <c r="A113" t="s">
        <v>374</v>
      </c>
      <c r="B113" s="7">
        <v>45383</v>
      </c>
      <c r="C113" t="s">
        <v>19</v>
      </c>
      <c r="D113" t="s">
        <v>20</v>
      </c>
      <c r="E113" t="s">
        <v>375</v>
      </c>
      <c r="F113" t="s">
        <v>43</v>
      </c>
      <c r="G113" t="s">
        <v>376</v>
      </c>
      <c r="H113">
        <v>7</v>
      </c>
      <c r="I113" s="8">
        <v>245000</v>
      </c>
      <c r="J113" s="8">
        <v>36750</v>
      </c>
      <c r="K113">
        <v>5</v>
      </c>
      <c r="L113" s="8">
        <v>10000</v>
      </c>
      <c r="M113" t="s">
        <v>24</v>
      </c>
      <c r="N113" s="11" t="str">
        <f>TEXT(tblSales[[#This Row],[Date]],"mmmm")</f>
        <v>April</v>
      </c>
      <c r="O113" s="11" t="str">
        <f>"Q"&amp;ROUNDUP(MONTH(tblSales[[#This Row],[Date]])/3,0)</f>
        <v>Q2</v>
      </c>
      <c r="P113" s="11">
        <f>YEAR(tblSales[[#This Row],[Date]])</f>
        <v>2024</v>
      </c>
      <c r="Q113" s="5">
        <f>tblSales[[#This Row],[Profit]]/tblSales[[#This Row],[Revenue]]</f>
        <v>0.15</v>
      </c>
      <c r="R113" s="8">
        <f>tblSales[[#This Row],[Revenue]]*1.1</f>
        <v>269500</v>
      </c>
    </row>
    <row r="114" spans="1:18">
      <c r="A114" t="s">
        <v>377</v>
      </c>
      <c r="B114" s="7">
        <v>45384</v>
      </c>
      <c r="C114" t="s">
        <v>33</v>
      </c>
      <c r="D114" t="s">
        <v>54</v>
      </c>
      <c r="E114" t="s">
        <v>378</v>
      </c>
      <c r="F114" t="s">
        <v>36</v>
      </c>
      <c r="G114" t="s">
        <v>379</v>
      </c>
      <c r="H114">
        <v>300</v>
      </c>
      <c r="I114" s="8">
        <v>450000</v>
      </c>
      <c r="J114" s="8">
        <v>90000</v>
      </c>
      <c r="K114">
        <v>0</v>
      </c>
      <c r="L114" s="8">
        <v>30000</v>
      </c>
      <c r="M114" t="s">
        <v>38</v>
      </c>
      <c r="N114" s="11" t="str">
        <f>TEXT(tblSales[[#This Row],[Date]],"mmmm")</f>
        <v>April</v>
      </c>
      <c r="O114" s="11" t="str">
        <f>"Q"&amp;ROUNDUP(MONTH(tblSales[[#This Row],[Date]])/3,0)</f>
        <v>Q2</v>
      </c>
      <c r="P114" s="11">
        <f>YEAR(tblSales[[#This Row],[Date]])</f>
        <v>2024</v>
      </c>
      <c r="Q114" s="5">
        <f>tblSales[[#This Row],[Profit]]/tblSales[[#This Row],[Revenue]]</f>
        <v>0.2</v>
      </c>
      <c r="R114" s="8">
        <f>tblSales[[#This Row],[Revenue]]*1.1</f>
        <v>495000</v>
      </c>
    </row>
    <row r="115" spans="1:18">
      <c r="A115" t="s">
        <v>380</v>
      </c>
      <c r="B115" s="7">
        <v>45384</v>
      </c>
      <c r="C115" t="s">
        <v>26</v>
      </c>
      <c r="D115" t="s">
        <v>71</v>
      </c>
      <c r="E115" t="s">
        <v>381</v>
      </c>
      <c r="F115" t="s">
        <v>22</v>
      </c>
      <c r="G115" t="s">
        <v>382</v>
      </c>
      <c r="H115">
        <v>120</v>
      </c>
      <c r="I115" s="8">
        <v>240000</v>
      </c>
      <c r="J115" s="8">
        <v>48000</v>
      </c>
      <c r="K115">
        <v>0</v>
      </c>
      <c r="L115" s="8">
        <v>8000</v>
      </c>
      <c r="M115" t="s">
        <v>24</v>
      </c>
      <c r="N115" s="11" t="str">
        <f>TEXT(tblSales[[#This Row],[Date]],"mmmm")</f>
        <v>April</v>
      </c>
      <c r="O115" s="11" t="str">
        <f>"Q"&amp;ROUNDUP(MONTH(tblSales[[#This Row],[Date]])/3,0)</f>
        <v>Q2</v>
      </c>
      <c r="P115" s="11">
        <f>YEAR(tblSales[[#This Row],[Date]])</f>
        <v>2024</v>
      </c>
      <c r="Q115" s="5">
        <f>tblSales[[#This Row],[Profit]]/tblSales[[#This Row],[Revenue]]</f>
        <v>0.2</v>
      </c>
      <c r="R115" s="8">
        <f>tblSales[[#This Row],[Revenue]]*1.1</f>
        <v>264000</v>
      </c>
    </row>
    <row r="116" spans="1:18">
      <c r="A116" t="s">
        <v>383</v>
      </c>
      <c r="B116" s="7">
        <v>45385</v>
      </c>
      <c r="C116" t="s">
        <v>40</v>
      </c>
      <c r="D116" t="s">
        <v>61</v>
      </c>
      <c r="E116" t="s">
        <v>384</v>
      </c>
      <c r="F116" t="s">
        <v>29</v>
      </c>
      <c r="G116" t="s">
        <v>385</v>
      </c>
      <c r="H116">
        <v>110</v>
      </c>
      <c r="I116" s="8">
        <v>275000</v>
      </c>
      <c r="J116" s="8">
        <v>55000</v>
      </c>
      <c r="K116">
        <v>0</v>
      </c>
      <c r="L116" s="8">
        <v>12000</v>
      </c>
      <c r="M116" t="s">
        <v>31</v>
      </c>
      <c r="N116" s="11" t="str">
        <f>TEXT(tblSales[[#This Row],[Date]],"mmmm")</f>
        <v>April</v>
      </c>
      <c r="O116" s="11" t="str">
        <f>"Q"&amp;ROUNDUP(MONTH(tblSales[[#This Row],[Date]])/3,0)</f>
        <v>Q2</v>
      </c>
      <c r="P116" s="11">
        <f>YEAR(tblSales[[#This Row],[Date]])</f>
        <v>2024</v>
      </c>
      <c r="Q116" s="5">
        <f>tblSales[[#This Row],[Profit]]/tblSales[[#This Row],[Revenue]]</f>
        <v>0.2</v>
      </c>
      <c r="R116" s="8">
        <f>tblSales[[#This Row],[Revenue]]*1.1</f>
        <v>302500</v>
      </c>
    </row>
    <row r="117" spans="1:18">
      <c r="A117" t="s">
        <v>386</v>
      </c>
      <c r="B117" s="7">
        <v>45386</v>
      </c>
      <c r="C117" t="s">
        <v>19</v>
      </c>
      <c r="D117" t="s">
        <v>100</v>
      </c>
      <c r="E117" t="s">
        <v>387</v>
      </c>
      <c r="F117" t="s">
        <v>43</v>
      </c>
      <c r="G117" t="s">
        <v>388</v>
      </c>
      <c r="H117">
        <v>40</v>
      </c>
      <c r="I117" s="8">
        <v>120000</v>
      </c>
      <c r="J117" s="8">
        <v>18000</v>
      </c>
      <c r="K117">
        <v>0</v>
      </c>
      <c r="L117" s="8">
        <v>6000</v>
      </c>
      <c r="M117" t="s">
        <v>24</v>
      </c>
      <c r="N117" s="11" t="str">
        <f>TEXT(tblSales[[#This Row],[Date]],"mmmm")</f>
        <v>April</v>
      </c>
      <c r="O117" s="11" t="str">
        <f>"Q"&amp;ROUNDUP(MONTH(tblSales[[#This Row],[Date]])/3,0)</f>
        <v>Q2</v>
      </c>
      <c r="P117" s="11">
        <f>YEAR(tblSales[[#This Row],[Date]])</f>
        <v>2024</v>
      </c>
      <c r="Q117" s="5">
        <f>tblSales[[#This Row],[Profit]]/tblSales[[#This Row],[Revenue]]</f>
        <v>0.15</v>
      </c>
      <c r="R117" s="8">
        <f>tblSales[[#This Row],[Revenue]]*1.1</f>
        <v>132000</v>
      </c>
    </row>
    <row r="118" spans="1:18">
      <c r="A118" t="s">
        <v>389</v>
      </c>
      <c r="B118" s="7">
        <v>45386</v>
      </c>
      <c r="C118" t="s">
        <v>33</v>
      </c>
      <c r="D118" t="s">
        <v>34</v>
      </c>
      <c r="E118" t="s">
        <v>390</v>
      </c>
      <c r="F118" t="s">
        <v>36</v>
      </c>
      <c r="G118" t="s">
        <v>391</v>
      </c>
      <c r="H118">
        <v>90</v>
      </c>
      <c r="I118" s="8">
        <v>360000</v>
      </c>
      <c r="J118" s="8">
        <v>72000</v>
      </c>
      <c r="K118">
        <v>0</v>
      </c>
      <c r="L118" s="8">
        <v>15000</v>
      </c>
      <c r="M118" t="s">
        <v>38</v>
      </c>
      <c r="N118" s="11" t="str">
        <f>TEXT(tblSales[[#This Row],[Date]],"mmmm")</f>
        <v>April</v>
      </c>
      <c r="O118" s="11" t="str">
        <f>"Q"&amp;ROUNDUP(MONTH(tblSales[[#This Row],[Date]])/3,0)</f>
        <v>Q2</v>
      </c>
      <c r="P118" s="11">
        <f>YEAR(tblSales[[#This Row],[Date]])</f>
        <v>2024</v>
      </c>
      <c r="Q118" s="5">
        <f>tblSales[[#This Row],[Profit]]/tblSales[[#This Row],[Revenue]]</f>
        <v>0.2</v>
      </c>
      <c r="R118" s="8">
        <f>tblSales[[#This Row],[Revenue]]*1.1</f>
        <v>396000</v>
      </c>
    </row>
    <row r="119" spans="1:18">
      <c r="A119" t="s">
        <v>392</v>
      </c>
      <c r="B119" s="7">
        <v>45387</v>
      </c>
      <c r="C119" t="s">
        <v>26</v>
      </c>
      <c r="D119" t="s">
        <v>27</v>
      </c>
      <c r="E119" t="s">
        <v>393</v>
      </c>
      <c r="F119" t="s">
        <v>22</v>
      </c>
      <c r="G119" t="s">
        <v>394</v>
      </c>
      <c r="H119">
        <v>70</v>
      </c>
      <c r="I119" s="8">
        <v>175000</v>
      </c>
      <c r="J119" s="8">
        <v>35000</v>
      </c>
      <c r="K119">
        <v>0</v>
      </c>
      <c r="L119" s="8">
        <v>5000</v>
      </c>
      <c r="M119" t="s">
        <v>24</v>
      </c>
      <c r="N119" s="11" t="str">
        <f>TEXT(tblSales[[#This Row],[Date]],"mmmm")</f>
        <v>April</v>
      </c>
      <c r="O119" s="11" t="str">
        <f>"Q"&amp;ROUNDUP(MONTH(tblSales[[#This Row],[Date]])/3,0)</f>
        <v>Q2</v>
      </c>
      <c r="P119" s="11">
        <f>YEAR(tblSales[[#This Row],[Date]])</f>
        <v>2024</v>
      </c>
      <c r="Q119" s="5">
        <f>tblSales[[#This Row],[Profit]]/tblSales[[#This Row],[Revenue]]</f>
        <v>0.2</v>
      </c>
      <c r="R119" s="8">
        <f>tblSales[[#This Row],[Revenue]]*1.1</f>
        <v>192500</v>
      </c>
    </row>
    <row r="120" spans="1:18">
      <c r="A120" t="s">
        <v>395</v>
      </c>
      <c r="B120" s="7">
        <v>45388</v>
      </c>
      <c r="C120" t="s">
        <v>40</v>
      </c>
      <c r="D120" t="s">
        <v>41</v>
      </c>
      <c r="E120" t="s">
        <v>396</v>
      </c>
      <c r="F120" t="s">
        <v>29</v>
      </c>
      <c r="G120" t="s">
        <v>397</v>
      </c>
      <c r="H120">
        <v>35</v>
      </c>
      <c r="I120" s="8">
        <v>105000</v>
      </c>
      <c r="J120" s="8">
        <v>21000</v>
      </c>
      <c r="K120">
        <v>0</v>
      </c>
      <c r="L120" s="8">
        <v>4000</v>
      </c>
      <c r="M120" t="s">
        <v>31</v>
      </c>
      <c r="N120" s="11" t="str">
        <f>TEXT(tblSales[[#This Row],[Date]],"mmmm")</f>
        <v>April</v>
      </c>
      <c r="O120" s="11" t="str">
        <f>"Q"&amp;ROUNDUP(MONTH(tblSales[[#This Row],[Date]])/3,0)</f>
        <v>Q2</v>
      </c>
      <c r="P120" s="11">
        <f>YEAR(tblSales[[#This Row],[Date]])</f>
        <v>2024</v>
      </c>
      <c r="Q120" s="5">
        <f>tblSales[[#This Row],[Profit]]/tblSales[[#This Row],[Revenue]]</f>
        <v>0.2</v>
      </c>
      <c r="R120" s="8">
        <f>tblSales[[#This Row],[Revenue]]*1.1</f>
        <v>115500</v>
      </c>
    </row>
    <row r="121" spans="1:18">
      <c r="A121" t="s">
        <v>398</v>
      </c>
      <c r="B121" s="7">
        <v>45388</v>
      </c>
      <c r="C121" t="s">
        <v>19</v>
      </c>
      <c r="D121" t="s">
        <v>50</v>
      </c>
      <c r="E121" t="s">
        <v>399</v>
      </c>
      <c r="F121" t="s">
        <v>43</v>
      </c>
      <c r="G121" t="s">
        <v>400</v>
      </c>
      <c r="H121">
        <v>25</v>
      </c>
      <c r="I121" s="8">
        <v>187500</v>
      </c>
      <c r="J121" s="8">
        <v>28125</v>
      </c>
      <c r="K121">
        <v>5</v>
      </c>
      <c r="L121" s="8">
        <v>10000</v>
      </c>
      <c r="M121" t="s">
        <v>24</v>
      </c>
      <c r="N121" s="11" t="str">
        <f>TEXT(tblSales[[#This Row],[Date]],"mmmm")</f>
        <v>April</v>
      </c>
      <c r="O121" s="11" t="str">
        <f>"Q"&amp;ROUNDUP(MONTH(tblSales[[#This Row],[Date]])/3,0)</f>
        <v>Q2</v>
      </c>
      <c r="P121" s="11">
        <f>YEAR(tblSales[[#This Row],[Date]])</f>
        <v>2024</v>
      </c>
      <c r="Q121" s="5">
        <f>tblSales[[#This Row],[Profit]]/tblSales[[#This Row],[Revenue]]</f>
        <v>0.15</v>
      </c>
      <c r="R121" s="8">
        <f>tblSales[[#This Row],[Revenue]]*1.1</f>
        <v>206250</v>
      </c>
    </row>
    <row r="122" spans="1:18">
      <c r="A122" t="s">
        <v>401</v>
      </c>
      <c r="B122" s="7">
        <v>45389</v>
      </c>
      <c r="C122" t="s">
        <v>33</v>
      </c>
      <c r="D122" t="s">
        <v>54</v>
      </c>
      <c r="E122" t="s">
        <v>402</v>
      </c>
      <c r="F122" t="s">
        <v>36</v>
      </c>
      <c r="G122" t="s">
        <v>403</v>
      </c>
      <c r="H122">
        <v>100</v>
      </c>
      <c r="I122" s="8">
        <v>350000</v>
      </c>
      <c r="J122" s="8">
        <v>70000</v>
      </c>
      <c r="K122">
        <v>0</v>
      </c>
      <c r="L122" s="8">
        <v>12000</v>
      </c>
      <c r="M122" t="s">
        <v>38</v>
      </c>
      <c r="N122" s="11" t="str">
        <f>TEXT(tblSales[[#This Row],[Date]],"mmmm")</f>
        <v>April</v>
      </c>
      <c r="O122" s="11" t="str">
        <f>"Q"&amp;ROUNDUP(MONTH(tblSales[[#This Row],[Date]])/3,0)</f>
        <v>Q2</v>
      </c>
      <c r="P122" s="11">
        <f>YEAR(tblSales[[#This Row],[Date]])</f>
        <v>2024</v>
      </c>
      <c r="Q122" s="5">
        <f>tblSales[[#This Row],[Profit]]/tblSales[[#This Row],[Revenue]]</f>
        <v>0.2</v>
      </c>
      <c r="R122" s="8">
        <f>tblSales[[#This Row],[Revenue]]*1.1</f>
        <v>385000</v>
      </c>
    </row>
    <row r="123" spans="1:18">
      <c r="A123" t="s">
        <v>404</v>
      </c>
      <c r="B123" s="7">
        <v>45390</v>
      </c>
      <c r="C123" t="s">
        <v>26</v>
      </c>
      <c r="D123" t="s">
        <v>46</v>
      </c>
      <c r="E123" t="s">
        <v>405</v>
      </c>
      <c r="F123" t="s">
        <v>22</v>
      </c>
      <c r="G123" t="s">
        <v>406</v>
      </c>
      <c r="H123">
        <v>30</v>
      </c>
      <c r="I123" s="8">
        <v>225000</v>
      </c>
      <c r="J123" s="8">
        <v>45000</v>
      </c>
      <c r="K123">
        <v>0</v>
      </c>
      <c r="L123" s="8">
        <v>8000</v>
      </c>
      <c r="M123" t="s">
        <v>24</v>
      </c>
      <c r="N123" s="11" t="str">
        <f>TEXT(tblSales[[#This Row],[Date]],"mmmm")</f>
        <v>April</v>
      </c>
      <c r="O123" s="11" t="str">
        <f>"Q"&amp;ROUNDUP(MONTH(tblSales[[#This Row],[Date]])/3,0)</f>
        <v>Q2</v>
      </c>
      <c r="P123" s="11">
        <f>YEAR(tblSales[[#This Row],[Date]])</f>
        <v>2024</v>
      </c>
      <c r="Q123" s="5">
        <f>tblSales[[#This Row],[Profit]]/tblSales[[#This Row],[Revenue]]</f>
        <v>0.2</v>
      </c>
      <c r="R123" s="8">
        <f>tblSales[[#This Row],[Revenue]]*1.1</f>
        <v>247500</v>
      </c>
    </row>
    <row r="124" spans="1:18">
      <c r="A124" t="s">
        <v>407</v>
      </c>
      <c r="B124" s="7">
        <v>45390</v>
      </c>
      <c r="C124" t="s">
        <v>19</v>
      </c>
      <c r="D124" t="s">
        <v>20</v>
      </c>
      <c r="E124" t="s">
        <v>408</v>
      </c>
      <c r="F124" t="s">
        <v>29</v>
      </c>
      <c r="G124" t="s">
        <v>409</v>
      </c>
      <c r="H124">
        <v>22</v>
      </c>
      <c r="I124" s="8">
        <v>330000</v>
      </c>
      <c r="J124" s="8">
        <v>66000</v>
      </c>
      <c r="K124">
        <v>0</v>
      </c>
      <c r="L124" s="8">
        <v>10000</v>
      </c>
      <c r="M124" t="s">
        <v>31</v>
      </c>
      <c r="N124" s="11" t="str">
        <f>TEXT(tblSales[[#This Row],[Date]],"mmmm")</f>
        <v>April</v>
      </c>
      <c r="O124" s="11" t="str">
        <f>"Q"&amp;ROUNDUP(MONTH(tblSales[[#This Row],[Date]])/3,0)</f>
        <v>Q2</v>
      </c>
      <c r="P124" s="11">
        <f>YEAR(tblSales[[#This Row],[Date]])</f>
        <v>2024</v>
      </c>
      <c r="Q124" s="5">
        <f>tblSales[[#This Row],[Profit]]/tblSales[[#This Row],[Revenue]]</f>
        <v>0.2</v>
      </c>
      <c r="R124" s="8">
        <f>tblSales[[#This Row],[Revenue]]*1.1</f>
        <v>363000</v>
      </c>
    </row>
    <row r="125" spans="1:18">
      <c r="A125" t="s">
        <v>410</v>
      </c>
      <c r="B125" s="7">
        <v>45391</v>
      </c>
      <c r="C125" t="s">
        <v>33</v>
      </c>
      <c r="D125" t="s">
        <v>34</v>
      </c>
      <c r="E125" t="s">
        <v>411</v>
      </c>
      <c r="F125" t="s">
        <v>36</v>
      </c>
      <c r="G125" t="s">
        <v>412</v>
      </c>
      <c r="H125">
        <v>150</v>
      </c>
      <c r="I125" s="8">
        <v>300000</v>
      </c>
      <c r="J125" s="8">
        <v>60000</v>
      </c>
      <c r="K125">
        <v>0</v>
      </c>
      <c r="L125" s="8">
        <v>18000</v>
      </c>
      <c r="M125" t="s">
        <v>38</v>
      </c>
      <c r="N125" s="11" t="str">
        <f>TEXT(tblSales[[#This Row],[Date]],"mmmm")</f>
        <v>April</v>
      </c>
      <c r="O125" s="11" t="str">
        <f>"Q"&amp;ROUNDUP(MONTH(tblSales[[#This Row],[Date]])/3,0)</f>
        <v>Q2</v>
      </c>
      <c r="P125" s="11">
        <f>YEAR(tblSales[[#This Row],[Date]])</f>
        <v>2024</v>
      </c>
      <c r="Q125" s="5">
        <f>tblSales[[#This Row],[Profit]]/tblSales[[#This Row],[Revenue]]</f>
        <v>0.2</v>
      </c>
      <c r="R125" s="8">
        <f>tblSales[[#This Row],[Revenue]]*1.1</f>
        <v>330000</v>
      </c>
    </row>
    <row r="126" spans="1:18">
      <c r="A126" t="s">
        <v>413</v>
      </c>
      <c r="B126" s="7">
        <v>45392</v>
      </c>
      <c r="C126" t="s">
        <v>26</v>
      </c>
      <c r="D126" t="s">
        <v>27</v>
      </c>
      <c r="E126" t="s">
        <v>414</v>
      </c>
      <c r="F126" t="s">
        <v>22</v>
      </c>
      <c r="G126" t="s">
        <v>415</v>
      </c>
      <c r="H126">
        <v>250</v>
      </c>
      <c r="I126" s="8">
        <v>125000</v>
      </c>
      <c r="J126" s="8">
        <v>25000</v>
      </c>
      <c r="K126">
        <v>0</v>
      </c>
      <c r="L126" s="8">
        <v>5000</v>
      </c>
      <c r="M126" t="s">
        <v>24</v>
      </c>
      <c r="N126" s="11" t="str">
        <f>TEXT(tblSales[[#This Row],[Date]],"mmmm")</f>
        <v>April</v>
      </c>
      <c r="O126" s="11" t="str">
        <f>"Q"&amp;ROUNDUP(MONTH(tblSales[[#This Row],[Date]])/3,0)</f>
        <v>Q2</v>
      </c>
      <c r="P126" s="11">
        <f>YEAR(tblSales[[#This Row],[Date]])</f>
        <v>2024</v>
      </c>
      <c r="Q126" s="5">
        <f>tblSales[[#This Row],[Profit]]/tblSales[[#This Row],[Revenue]]</f>
        <v>0.2</v>
      </c>
      <c r="R126" s="8">
        <f>tblSales[[#This Row],[Revenue]]*1.1</f>
        <v>137500</v>
      </c>
    </row>
    <row r="127" spans="1:18">
      <c r="A127" t="s">
        <v>416</v>
      </c>
      <c r="B127" s="7">
        <v>45392</v>
      </c>
      <c r="C127" t="s">
        <v>40</v>
      </c>
      <c r="D127" t="s">
        <v>126</v>
      </c>
      <c r="E127" t="s">
        <v>417</v>
      </c>
      <c r="F127" t="s">
        <v>43</v>
      </c>
      <c r="G127" t="s">
        <v>418</v>
      </c>
      <c r="H127">
        <v>2</v>
      </c>
      <c r="I127" s="8">
        <v>150000</v>
      </c>
      <c r="J127" s="8">
        <v>22500</v>
      </c>
      <c r="K127">
        <v>0</v>
      </c>
      <c r="L127" s="8">
        <v>8000</v>
      </c>
      <c r="M127" t="s">
        <v>31</v>
      </c>
      <c r="N127" s="11" t="str">
        <f>TEXT(tblSales[[#This Row],[Date]],"mmmm")</f>
        <v>April</v>
      </c>
      <c r="O127" s="11" t="str">
        <f>"Q"&amp;ROUNDUP(MONTH(tblSales[[#This Row],[Date]])/3,0)</f>
        <v>Q2</v>
      </c>
      <c r="P127" s="11">
        <f>YEAR(tblSales[[#This Row],[Date]])</f>
        <v>2024</v>
      </c>
      <c r="Q127" s="5">
        <f>tblSales[[#This Row],[Profit]]/tblSales[[#This Row],[Revenue]]</f>
        <v>0.15</v>
      </c>
      <c r="R127" s="8">
        <f>tblSales[[#This Row],[Revenue]]*1.1</f>
        <v>165000</v>
      </c>
    </row>
    <row r="128" spans="1:18">
      <c r="A128" t="s">
        <v>419</v>
      </c>
      <c r="B128" s="7">
        <v>45393</v>
      </c>
      <c r="C128" t="s">
        <v>19</v>
      </c>
      <c r="D128" t="s">
        <v>113</v>
      </c>
      <c r="E128" t="s">
        <v>420</v>
      </c>
      <c r="F128" t="s">
        <v>29</v>
      </c>
      <c r="G128" t="s">
        <v>421</v>
      </c>
      <c r="H128">
        <v>40</v>
      </c>
      <c r="I128" s="8">
        <v>160000</v>
      </c>
      <c r="J128" s="8">
        <v>32000</v>
      </c>
      <c r="K128">
        <v>0</v>
      </c>
      <c r="L128" s="8">
        <v>6000</v>
      </c>
      <c r="M128" t="s">
        <v>24</v>
      </c>
      <c r="N128" s="11" t="str">
        <f>TEXT(tblSales[[#This Row],[Date]],"mmmm")</f>
        <v>April</v>
      </c>
      <c r="O128" s="11" t="str">
        <f>"Q"&amp;ROUNDUP(MONTH(tblSales[[#This Row],[Date]])/3,0)</f>
        <v>Q2</v>
      </c>
      <c r="P128" s="11">
        <f>YEAR(tblSales[[#This Row],[Date]])</f>
        <v>2024</v>
      </c>
      <c r="Q128" s="5">
        <f>tblSales[[#This Row],[Profit]]/tblSales[[#This Row],[Revenue]]</f>
        <v>0.2</v>
      </c>
      <c r="R128" s="8">
        <f>tblSales[[#This Row],[Revenue]]*1.1</f>
        <v>176000</v>
      </c>
    </row>
    <row r="129" spans="1:18">
      <c r="A129" t="s">
        <v>422</v>
      </c>
      <c r="B129" s="7">
        <v>45394</v>
      </c>
      <c r="C129" t="s">
        <v>33</v>
      </c>
      <c r="D129" t="s">
        <v>54</v>
      </c>
      <c r="E129" t="s">
        <v>423</v>
      </c>
      <c r="F129" t="s">
        <v>36</v>
      </c>
      <c r="G129" t="s">
        <v>424</v>
      </c>
      <c r="H129">
        <v>200</v>
      </c>
      <c r="I129" s="8">
        <v>700000</v>
      </c>
      <c r="J129" s="8">
        <v>140000</v>
      </c>
      <c r="K129">
        <v>0</v>
      </c>
      <c r="L129" s="8">
        <v>25000</v>
      </c>
      <c r="M129" t="s">
        <v>38</v>
      </c>
      <c r="N129" s="11" t="str">
        <f>TEXT(tblSales[[#This Row],[Date]],"mmmm")</f>
        <v>April</v>
      </c>
      <c r="O129" s="11" t="str">
        <f>"Q"&amp;ROUNDUP(MONTH(tblSales[[#This Row],[Date]])/3,0)</f>
        <v>Q2</v>
      </c>
      <c r="P129" s="11">
        <f>YEAR(tblSales[[#This Row],[Date]])</f>
        <v>2024</v>
      </c>
      <c r="Q129" s="5">
        <f>tblSales[[#This Row],[Profit]]/tblSales[[#This Row],[Revenue]]</f>
        <v>0.2</v>
      </c>
      <c r="R129" s="8">
        <f>tblSales[[#This Row],[Revenue]]*1.1</f>
        <v>770000</v>
      </c>
    </row>
    <row r="130" spans="1:18">
      <c r="A130" t="s">
        <v>425</v>
      </c>
      <c r="B130" s="7">
        <v>45394</v>
      </c>
      <c r="C130" t="s">
        <v>26</v>
      </c>
      <c r="D130" t="s">
        <v>71</v>
      </c>
      <c r="E130" t="s">
        <v>426</v>
      </c>
      <c r="F130" t="s">
        <v>22</v>
      </c>
      <c r="G130" t="s">
        <v>427</v>
      </c>
      <c r="H130">
        <v>1</v>
      </c>
      <c r="I130" s="8">
        <v>400000</v>
      </c>
      <c r="J130" s="8">
        <v>60000</v>
      </c>
      <c r="K130">
        <v>0</v>
      </c>
      <c r="L130" s="8">
        <v>10000</v>
      </c>
      <c r="M130" t="s">
        <v>24</v>
      </c>
      <c r="N130" s="11" t="str">
        <f>TEXT(tblSales[[#This Row],[Date]],"mmmm")</f>
        <v>April</v>
      </c>
      <c r="O130" s="11" t="str">
        <f>"Q"&amp;ROUNDUP(MONTH(tblSales[[#This Row],[Date]])/3,0)</f>
        <v>Q2</v>
      </c>
      <c r="P130" s="11">
        <f>YEAR(tblSales[[#This Row],[Date]])</f>
        <v>2024</v>
      </c>
      <c r="Q130" s="5">
        <f>tblSales[[#This Row],[Profit]]/tblSales[[#This Row],[Revenue]]</f>
        <v>0.15</v>
      </c>
      <c r="R130" s="8">
        <f>tblSales[[#This Row],[Revenue]]*1.1</f>
        <v>440000</v>
      </c>
    </row>
    <row r="131" spans="1:18">
      <c r="A131" t="s">
        <v>428</v>
      </c>
      <c r="B131" s="7">
        <v>45395</v>
      </c>
      <c r="C131" t="s">
        <v>40</v>
      </c>
      <c r="D131" t="s">
        <v>41</v>
      </c>
      <c r="E131" t="s">
        <v>429</v>
      </c>
      <c r="F131" t="s">
        <v>29</v>
      </c>
      <c r="G131" t="s">
        <v>430</v>
      </c>
      <c r="H131">
        <v>15</v>
      </c>
      <c r="I131" s="8">
        <v>750000</v>
      </c>
      <c r="J131" s="8">
        <v>150000</v>
      </c>
      <c r="K131">
        <v>0</v>
      </c>
      <c r="L131" s="8">
        <v>20000</v>
      </c>
      <c r="M131" t="s">
        <v>31</v>
      </c>
      <c r="N131" s="11" t="str">
        <f>TEXT(tblSales[[#This Row],[Date]],"mmmm")</f>
        <v>April</v>
      </c>
      <c r="O131" s="11" t="str">
        <f>"Q"&amp;ROUNDUP(MONTH(tblSales[[#This Row],[Date]])/3,0)</f>
        <v>Q2</v>
      </c>
      <c r="P131" s="11">
        <f>YEAR(tblSales[[#This Row],[Date]])</f>
        <v>2024</v>
      </c>
      <c r="Q131" s="5">
        <f>tblSales[[#This Row],[Profit]]/tblSales[[#This Row],[Revenue]]</f>
        <v>0.2</v>
      </c>
      <c r="R131" s="8">
        <f>tblSales[[#This Row],[Revenue]]*1.1</f>
        <v>825000</v>
      </c>
    </row>
    <row r="132" spans="1:18">
      <c r="A132" t="s">
        <v>431</v>
      </c>
      <c r="B132" s="7">
        <v>45396</v>
      </c>
      <c r="C132" t="s">
        <v>19</v>
      </c>
      <c r="D132" t="s">
        <v>20</v>
      </c>
      <c r="E132" t="s">
        <v>432</v>
      </c>
      <c r="F132" t="s">
        <v>43</v>
      </c>
      <c r="G132" t="s">
        <v>433</v>
      </c>
      <c r="H132">
        <v>30</v>
      </c>
      <c r="I132" s="8">
        <v>225000</v>
      </c>
      <c r="J132" s="8">
        <v>45000</v>
      </c>
      <c r="K132">
        <v>5</v>
      </c>
      <c r="L132" s="8">
        <v>8000</v>
      </c>
      <c r="M132" t="s">
        <v>24</v>
      </c>
      <c r="N132" s="11" t="str">
        <f>TEXT(tblSales[[#This Row],[Date]],"mmmm")</f>
        <v>April</v>
      </c>
      <c r="O132" s="11" t="str">
        <f>"Q"&amp;ROUNDUP(MONTH(tblSales[[#This Row],[Date]])/3,0)</f>
        <v>Q2</v>
      </c>
      <c r="P132" s="11">
        <f>YEAR(tblSales[[#This Row],[Date]])</f>
        <v>2024</v>
      </c>
      <c r="Q132" s="5">
        <f>tblSales[[#This Row],[Profit]]/tblSales[[#This Row],[Revenue]]</f>
        <v>0.2</v>
      </c>
      <c r="R132" s="8">
        <f>tblSales[[#This Row],[Revenue]]*1.1</f>
        <v>247500</v>
      </c>
    </row>
    <row r="133" spans="1:18">
      <c r="A133" t="s">
        <v>434</v>
      </c>
      <c r="B133" s="7">
        <v>45396</v>
      </c>
      <c r="C133" t="s">
        <v>33</v>
      </c>
      <c r="D133" t="s">
        <v>34</v>
      </c>
      <c r="E133" t="s">
        <v>435</v>
      </c>
      <c r="F133" t="s">
        <v>36</v>
      </c>
      <c r="G133" t="s">
        <v>436</v>
      </c>
      <c r="H133">
        <v>80</v>
      </c>
      <c r="I133" s="8">
        <v>200000</v>
      </c>
      <c r="J133" s="8">
        <v>40000</v>
      </c>
      <c r="K133">
        <v>0</v>
      </c>
      <c r="L133" s="8">
        <v>10000</v>
      </c>
      <c r="M133" t="s">
        <v>38</v>
      </c>
      <c r="N133" s="11" t="str">
        <f>TEXT(tblSales[[#This Row],[Date]],"mmmm")</f>
        <v>April</v>
      </c>
      <c r="O133" s="11" t="str">
        <f>"Q"&amp;ROUNDUP(MONTH(tblSales[[#This Row],[Date]])/3,0)</f>
        <v>Q2</v>
      </c>
      <c r="P133" s="11">
        <f>YEAR(tblSales[[#This Row],[Date]])</f>
        <v>2024</v>
      </c>
      <c r="Q133" s="5">
        <f>tblSales[[#This Row],[Profit]]/tblSales[[#This Row],[Revenue]]</f>
        <v>0.2</v>
      </c>
      <c r="R133" s="8">
        <f>tblSales[[#This Row],[Revenue]]*1.1</f>
        <v>220000</v>
      </c>
    </row>
    <row r="134" spans="1:18">
      <c r="A134" t="s">
        <v>437</v>
      </c>
      <c r="B134" s="7">
        <v>45397</v>
      </c>
      <c r="C134" t="s">
        <v>26</v>
      </c>
      <c r="D134" t="s">
        <v>27</v>
      </c>
      <c r="E134" t="s">
        <v>438</v>
      </c>
      <c r="F134" t="s">
        <v>22</v>
      </c>
      <c r="G134" t="s">
        <v>439</v>
      </c>
      <c r="H134">
        <v>5</v>
      </c>
      <c r="I134" s="8">
        <v>250000</v>
      </c>
      <c r="J134" s="8">
        <v>37500</v>
      </c>
      <c r="K134">
        <v>0</v>
      </c>
      <c r="L134" s="8">
        <v>12000</v>
      </c>
      <c r="M134" t="s">
        <v>24</v>
      </c>
      <c r="N134" s="11" t="str">
        <f>TEXT(tblSales[[#This Row],[Date]],"mmmm")</f>
        <v>April</v>
      </c>
      <c r="O134" s="11" t="str">
        <f>"Q"&amp;ROUNDUP(MONTH(tblSales[[#This Row],[Date]])/3,0)</f>
        <v>Q2</v>
      </c>
      <c r="P134" s="11">
        <f>YEAR(tblSales[[#This Row],[Date]])</f>
        <v>2024</v>
      </c>
      <c r="Q134" s="5">
        <f>tblSales[[#This Row],[Profit]]/tblSales[[#This Row],[Revenue]]</f>
        <v>0.15</v>
      </c>
      <c r="R134" s="8">
        <f>tblSales[[#This Row],[Revenue]]*1.1</f>
        <v>275000</v>
      </c>
    </row>
    <row r="135" spans="1:18">
      <c r="A135" t="s">
        <v>440</v>
      </c>
      <c r="B135" s="7">
        <v>45398</v>
      </c>
      <c r="C135" t="s">
        <v>40</v>
      </c>
      <c r="D135" t="s">
        <v>93</v>
      </c>
      <c r="E135" t="s">
        <v>441</v>
      </c>
      <c r="F135" t="s">
        <v>29</v>
      </c>
      <c r="G135" t="s">
        <v>442</v>
      </c>
      <c r="H135">
        <v>12</v>
      </c>
      <c r="I135" s="8">
        <v>120000</v>
      </c>
      <c r="J135" s="8">
        <v>24000</v>
      </c>
      <c r="K135">
        <v>0</v>
      </c>
      <c r="L135" s="8">
        <v>5000</v>
      </c>
      <c r="M135" t="s">
        <v>31</v>
      </c>
      <c r="N135" s="11" t="str">
        <f>TEXT(tblSales[[#This Row],[Date]],"mmmm")</f>
        <v>April</v>
      </c>
      <c r="O135" s="11" t="str">
        <f>"Q"&amp;ROUNDUP(MONTH(tblSales[[#This Row],[Date]])/3,0)</f>
        <v>Q2</v>
      </c>
      <c r="P135" s="11">
        <f>YEAR(tblSales[[#This Row],[Date]])</f>
        <v>2024</v>
      </c>
      <c r="Q135" s="5">
        <f>tblSales[[#This Row],[Profit]]/tblSales[[#This Row],[Revenue]]</f>
        <v>0.2</v>
      </c>
      <c r="R135" s="8">
        <f>tblSales[[#This Row],[Revenue]]*1.1</f>
        <v>132000</v>
      </c>
    </row>
    <row r="136" spans="1:18">
      <c r="A136" t="s">
        <v>443</v>
      </c>
      <c r="B136" s="7">
        <v>45398</v>
      </c>
      <c r="C136" t="s">
        <v>19</v>
      </c>
      <c r="D136" t="s">
        <v>50</v>
      </c>
      <c r="E136" t="s">
        <v>444</v>
      </c>
      <c r="F136" t="s">
        <v>43</v>
      </c>
      <c r="G136" t="s">
        <v>445</v>
      </c>
      <c r="H136">
        <v>35</v>
      </c>
      <c r="I136" s="8">
        <v>87500</v>
      </c>
      <c r="J136" s="8">
        <v>13125</v>
      </c>
      <c r="K136">
        <v>0</v>
      </c>
      <c r="L136" s="8">
        <v>4000</v>
      </c>
      <c r="M136" t="s">
        <v>24</v>
      </c>
      <c r="N136" s="11" t="str">
        <f>TEXT(tblSales[[#This Row],[Date]],"mmmm")</f>
        <v>April</v>
      </c>
      <c r="O136" s="11" t="str">
        <f>"Q"&amp;ROUNDUP(MONTH(tblSales[[#This Row],[Date]])/3,0)</f>
        <v>Q2</v>
      </c>
      <c r="P136" s="11">
        <f>YEAR(tblSales[[#This Row],[Date]])</f>
        <v>2024</v>
      </c>
      <c r="Q136" s="5">
        <f>tblSales[[#This Row],[Profit]]/tblSales[[#This Row],[Revenue]]</f>
        <v>0.15</v>
      </c>
      <c r="R136" s="8">
        <f>tblSales[[#This Row],[Revenue]]*1.1</f>
        <v>96250</v>
      </c>
    </row>
    <row r="137" spans="1:18">
      <c r="A137" t="s">
        <v>446</v>
      </c>
      <c r="B137" s="7">
        <v>45399</v>
      </c>
      <c r="C137" t="s">
        <v>33</v>
      </c>
      <c r="D137" t="s">
        <v>54</v>
      </c>
      <c r="E137" t="s">
        <v>447</v>
      </c>
      <c r="F137" t="s">
        <v>36</v>
      </c>
      <c r="G137" t="s">
        <v>448</v>
      </c>
      <c r="H137">
        <v>150</v>
      </c>
      <c r="I137" s="8">
        <v>300000</v>
      </c>
      <c r="J137" s="8">
        <v>60000</v>
      </c>
      <c r="K137">
        <v>0</v>
      </c>
      <c r="L137" s="8">
        <v>15000</v>
      </c>
      <c r="M137" t="s">
        <v>38</v>
      </c>
      <c r="N137" s="11" t="str">
        <f>TEXT(tblSales[[#This Row],[Date]],"mmmm")</f>
        <v>April</v>
      </c>
      <c r="O137" s="11" t="str">
        <f>"Q"&amp;ROUNDUP(MONTH(tblSales[[#This Row],[Date]])/3,0)</f>
        <v>Q2</v>
      </c>
      <c r="P137" s="11">
        <f>YEAR(tblSales[[#This Row],[Date]])</f>
        <v>2024</v>
      </c>
      <c r="Q137" s="5">
        <f>tblSales[[#This Row],[Profit]]/tblSales[[#This Row],[Revenue]]</f>
        <v>0.2</v>
      </c>
      <c r="R137" s="8">
        <f>tblSales[[#This Row],[Revenue]]*1.1</f>
        <v>330000</v>
      </c>
    </row>
    <row r="138" spans="1:18">
      <c r="A138" t="s">
        <v>449</v>
      </c>
      <c r="B138" s="7">
        <v>45400</v>
      </c>
      <c r="C138" t="s">
        <v>26</v>
      </c>
      <c r="D138" t="s">
        <v>46</v>
      </c>
      <c r="E138" t="s">
        <v>450</v>
      </c>
      <c r="F138" t="s">
        <v>22</v>
      </c>
      <c r="G138" t="s">
        <v>451</v>
      </c>
      <c r="H138">
        <v>55</v>
      </c>
      <c r="I138" s="8">
        <v>137500</v>
      </c>
      <c r="J138" s="8">
        <v>27500</v>
      </c>
      <c r="K138">
        <v>0</v>
      </c>
      <c r="L138" s="8">
        <v>5000</v>
      </c>
      <c r="M138" t="s">
        <v>24</v>
      </c>
      <c r="N138" s="11" t="str">
        <f>TEXT(tblSales[[#This Row],[Date]],"mmmm")</f>
        <v>April</v>
      </c>
      <c r="O138" s="11" t="str">
        <f>"Q"&amp;ROUNDUP(MONTH(tblSales[[#This Row],[Date]])/3,0)</f>
        <v>Q2</v>
      </c>
      <c r="P138" s="11">
        <f>YEAR(tblSales[[#This Row],[Date]])</f>
        <v>2024</v>
      </c>
      <c r="Q138" s="5">
        <f>tblSales[[#This Row],[Profit]]/tblSales[[#This Row],[Revenue]]</f>
        <v>0.2</v>
      </c>
      <c r="R138" s="8">
        <f>tblSales[[#This Row],[Revenue]]*1.1</f>
        <v>151250</v>
      </c>
    </row>
    <row r="139" spans="1:18">
      <c r="A139" t="s">
        <v>452</v>
      </c>
      <c r="B139" s="7">
        <v>45400</v>
      </c>
      <c r="C139" t="s">
        <v>19</v>
      </c>
      <c r="D139" t="s">
        <v>20</v>
      </c>
      <c r="E139" t="s">
        <v>453</v>
      </c>
      <c r="F139" t="s">
        <v>29</v>
      </c>
      <c r="G139" t="s">
        <v>454</v>
      </c>
      <c r="H139">
        <v>80</v>
      </c>
      <c r="I139" s="8">
        <v>200000</v>
      </c>
      <c r="J139" s="8">
        <v>40000</v>
      </c>
      <c r="K139">
        <v>0</v>
      </c>
      <c r="L139" s="8">
        <v>8000</v>
      </c>
      <c r="M139" t="s">
        <v>31</v>
      </c>
      <c r="N139" s="11" t="str">
        <f>TEXT(tblSales[[#This Row],[Date]],"mmmm")</f>
        <v>April</v>
      </c>
      <c r="O139" s="11" t="str">
        <f>"Q"&amp;ROUNDUP(MONTH(tblSales[[#This Row],[Date]])/3,0)</f>
        <v>Q2</v>
      </c>
      <c r="P139" s="11">
        <f>YEAR(tblSales[[#This Row],[Date]])</f>
        <v>2024</v>
      </c>
      <c r="Q139" s="5">
        <f>tblSales[[#This Row],[Profit]]/tblSales[[#This Row],[Revenue]]</f>
        <v>0.2</v>
      </c>
      <c r="R139" s="8">
        <f>tblSales[[#This Row],[Revenue]]*1.1</f>
        <v>220000</v>
      </c>
    </row>
    <row r="140" spans="1:18">
      <c r="A140" t="s">
        <v>455</v>
      </c>
      <c r="B140" s="7">
        <v>45401</v>
      </c>
      <c r="C140" t="s">
        <v>33</v>
      </c>
      <c r="D140" t="s">
        <v>34</v>
      </c>
      <c r="E140" t="s">
        <v>456</v>
      </c>
      <c r="F140" t="s">
        <v>36</v>
      </c>
      <c r="G140" t="s">
        <v>457</v>
      </c>
      <c r="H140">
        <v>45</v>
      </c>
      <c r="I140" s="8">
        <v>180000</v>
      </c>
      <c r="J140" s="8">
        <v>36000</v>
      </c>
      <c r="K140">
        <v>0</v>
      </c>
      <c r="L140" s="8">
        <v>8000</v>
      </c>
      <c r="M140" t="s">
        <v>38</v>
      </c>
      <c r="N140" s="11" t="str">
        <f>TEXT(tblSales[[#This Row],[Date]],"mmmm")</f>
        <v>April</v>
      </c>
      <c r="O140" s="11" t="str">
        <f>"Q"&amp;ROUNDUP(MONTH(tblSales[[#This Row],[Date]])/3,0)</f>
        <v>Q2</v>
      </c>
      <c r="P140" s="11">
        <f>YEAR(tblSales[[#This Row],[Date]])</f>
        <v>2024</v>
      </c>
      <c r="Q140" s="5">
        <f>tblSales[[#This Row],[Profit]]/tblSales[[#This Row],[Revenue]]</f>
        <v>0.2</v>
      </c>
      <c r="R140" s="8">
        <f>tblSales[[#This Row],[Revenue]]*1.1</f>
        <v>198000</v>
      </c>
    </row>
    <row r="141" spans="1:18">
      <c r="A141" t="s">
        <v>458</v>
      </c>
      <c r="B141" s="7">
        <v>45402</v>
      </c>
      <c r="C141" t="s">
        <v>26</v>
      </c>
      <c r="D141" t="s">
        <v>27</v>
      </c>
      <c r="E141" t="s">
        <v>459</v>
      </c>
      <c r="F141" t="s">
        <v>22</v>
      </c>
      <c r="G141" t="s">
        <v>460</v>
      </c>
      <c r="H141">
        <v>40</v>
      </c>
      <c r="I141" s="8">
        <v>100000</v>
      </c>
      <c r="J141" s="8">
        <v>20000</v>
      </c>
      <c r="K141">
        <v>0</v>
      </c>
      <c r="L141" s="8">
        <v>4000</v>
      </c>
      <c r="M141" t="s">
        <v>24</v>
      </c>
      <c r="N141" s="11" t="str">
        <f>TEXT(tblSales[[#This Row],[Date]],"mmmm")</f>
        <v>April</v>
      </c>
      <c r="O141" s="11" t="str">
        <f>"Q"&amp;ROUNDUP(MONTH(tblSales[[#This Row],[Date]])/3,0)</f>
        <v>Q2</v>
      </c>
      <c r="P141" s="11">
        <f>YEAR(tblSales[[#This Row],[Date]])</f>
        <v>2024</v>
      </c>
      <c r="Q141" s="5">
        <f>tblSales[[#This Row],[Profit]]/tblSales[[#This Row],[Revenue]]</f>
        <v>0.2</v>
      </c>
      <c r="R141" s="8">
        <f>tblSales[[#This Row],[Revenue]]*1.1</f>
        <v>110000</v>
      </c>
    </row>
    <row r="142" spans="1:18">
      <c r="A142" t="s">
        <v>461</v>
      </c>
      <c r="B142" s="7">
        <v>45402</v>
      </c>
      <c r="C142" t="s">
        <v>40</v>
      </c>
      <c r="D142" t="s">
        <v>61</v>
      </c>
      <c r="E142" t="s">
        <v>462</v>
      </c>
      <c r="F142" t="s">
        <v>43</v>
      </c>
      <c r="G142" t="s">
        <v>463</v>
      </c>
      <c r="H142">
        <v>12</v>
      </c>
      <c r="I142" s="8">
        <v>180000</v>
      </c>
      <c r="J142" s="8">
        <v>27000</v>
      </c>
      <c r="K142">
        <v>0</v>
      </c>
      <c r="L142" s="8">
        <v>6000</v>
      </c>
      <c r="M142" t="s">
        <v>31</v>
      </c>
      <c r="N142" s="11" t="str">
        <f>TEXT(tblSales[[#This Row],[Date]],"mmmm")</f>
        <v>April</v>
      </c>
      <c r="O142" s="11" t="str">
        <f>"Q"&amp;ROUNDUP(MONTH(tblSales[[#This Row],[Date]])/3,0)</f>
        <v>Q2</v>
      </c>
      <c r="P142" s="11">
        <f>YEAR(tblSales[[#This Row],[Date]])</f>
        <v>2024</v>
      </c>
      <c r="Q142" s="5">
        <f>tblSales[[#This Row],[Profit]]/tblSales[[#This Row],[Revenue]]</f>
        <v>0.15</v>
      </c>
      <c r="R142" s="8">
        <f>tblSales[[#This Row],[Revenue]]*1.1</f>
        <v>198000</v>
      </c>
    </row>
    <row r="143" spans="1:18">
      <c r="A143" t="s">
        <v>464</v>
      </c>
      <c r="B143" s="7">
        <v>45403</v>
      </c>
      <c r="C143" t="s">
        <v>19</v>
      </c>
      <c r="D143" t="s">
        <v>100</v>
      </c>
      <c r="E143" t="s">
        <v>465</v>
      </c>
      <c r="F143" t="s">
        <v>29</v>
      </c>
      <c r="G143" t="s">
        <v>466</v>
      </c>
      <c r="H143">
        <v>65</v>
      </c>
      <c r="I143" s="8">
        <v>162500</v>
      </c>
      <c r="J143" s="8">
        <v>32500</v>
      </c>
      <c r="K143">
        <v>0</v>
      </c>
      <c r="L143" s="8">
        <v>5000</v>
      </c>
      <c r="M143" t="s">
        <v>24</v>
      </c>
      <c r="N143" s="11" t="str">
        <f>TEXT(tblSales[[#This Row],[Date]],"mmmm")</f>
        <v>April</v>
      </c>
      <c r="O143" s="11" t="str">
        <f>"Q"&amp;ROUNDUP(MONTH(tblSales[[#This Row],[Date]])/3,0)</f>
        <v>Q2</v>
      </c>
      <c r="P143" s="11">
        <f>YEAR(tblSales[[#This Row],[Date]])</f>
        <v>2024</v>
      </c>
      <c r="Q143" s="5">
        <f>tblSales[[#This Row],[Profit]]/tblSales[[#This Row],[Revenue]]</f>
        <v>0.2</v>
      </c>
      <c r="R143" s="8">
        <f>tblSales[[#This Row],[Revenue]]*1.1</f>
        <v>178750</v>
      </c>
    </row>
    <row r="144" spans="1:18">
      <c r="A144" t="s">
        <v>467</v>
      </c>
      <c r="B144" s="7">
        <v>45404</v>
      </c>
      <c r="C144" t="s">
        <v>33</v>
      </c>
      <c r="D144" t="s">
        <v>54</v>
      </c>
      <c r="E144" t="s">
        <v>468</v>
      </c>
      <c r="F144" t="s">
        <v>36</v>
      </c>
      <c r="G144" t="s">
        <v>469</v>
      </c>
      <c r="H144">
        <v>90</v>
      </c>
      <c r="I144" s="8">
        <v>180000</v>
      </c>
      <c r="J144" s="8">
        <v>36000</v>
      </c>
      <c r="K144">
        <v>0</v>
      </c>
      <c r="L144" s="8">
        <v>10000</v>
      </c>
      <c r="M144" t="s">
        <v>38</v>
      </c>
      <c r="N144" s="11" t="str">
        <f>TEXT(tblSales[[#This Row],[Date]],"mmmm")</f>
        <v>April</v>
      </c>
      <c r="O144" s="11" t="str">
        <f>"Q"&amp;ROUNDUP(MONTH(tblSales[[#This Row],[Date]])/3,0)</f>
        <v>Q2</v>
      </c>
      <c r="P144" s="11">
        <f>YEAR(tblSales[[#This Row],[Date]])</f>
        <v>2024</v>
      </c>
      <c r="Q144" s="5">
        <f>tblSales[[#This Row],[Profit]]/tblSales[[#This Row],[Revenue]]</f>
        <v>0.2</v>
      </c>
      <c r="R144" s="8">
        <f>tblSales[[#This Row],[Revenue]]*1.1</f>
        <v>198000</v>
      </c>
    </row>
    <row r="145" spans="1:18">
      <c r="A145" t="s">
        <v>470</v>
      </c>
      <c r="B145" s="7">
        <v>45404</v>
      </c>
      <c r="C145" t="s">
        <v>26</v>
      </c>
      <c r="D145" t="s">
        <v>71</v>
      </c>
      <c r="E145" t="s">
        <v>471</v>
      </c>
      <c r="F145" t="s">
        <v>22</v>
      </c>
      <c r="G145" t="s">
        <v>472</v>
      </c>
      <c r="H145">
        <v>4</v>
      </c>
      <c r="I145" s="8">
        <v>400000</v>
      </c>
      <c r="J145" s="8">
        <v>60000</v>
      </c>
      <c r="K145">
        <v>0</v>
      </c>
      <c r="L145" s="8">
        <v>15000</v>
      </c>
      <c r="M145" t="s">
        <v>24</v>
      </c>
      <c r="N145" s="11" t="str">
        <f>TEXT(tblSales[[#This Row],[Date]],"mmmm")</f>
        <v>April</v>
      </c>
      <c r="O145" s="11" t="str">
        <f>"Q"&amp;ROUNDUP(MONTH(tblSales[[#This Row],[Date]])/3,0)</f>
        <v>Q2</v>
      </c>
      <c r="P145" s="11">
        <f>YEAR(tblSales[[#This Row],[Date]])</f>
        <v>2024</v>
      </c>
      <c r="Q145" s="5">
        <f>tblSales[[#This Row],[Profit]]/tblSales[[#This Row],[Revenue]]</f>
        <v>0.15</v>
      </c>
      <c r="R145" s="8">
        <f>tblSales[[#This Row],[Revenue]]*1.1</f>
        <v>440000</v>
      </c>
    </row>
    <row r="146" spans="1:18">
      <c r="A146" t="s">
        <v>473</v>
      </c>
      <c r="B146" s="7">
        <v>45405</v>
      </c>
      <c r="C146" t="s">
        <v>40</v>
      </c>
      <c r="D146" t="s">
        <v>41</v>
      </c>
      <c r="E146" t="s">
        <v>474</v>
      </c>
      <c r="F146" t="s">
        <v>29</v>
      </c>
      <c r="G146" t="s">
        <v>475</v>
      </c>
      <c r="H146">
        <v>18</v>
      </c>
      <c r="I146" s="8">
        <v>270000</v>
      </c>
      <c r="J146" s="8">
        <v>54000</v>
      </c>
      <c r="K146">
        <v>0</v>
      </c>
      <c r="L146" s="8">
        <v>8000</v>
      </c>
      <c r="M146" t="s">
        <v>31</v>
      </c>
      <c r="N146" s="11" t="str">
        <f>TEXT(tblSales[[#This Row],[Date]],"mmmm")</f>
        <v>April</v>
      </c>
      <c r="O146" s="11" t="str">
        <f>"Q"&amp;ROUNDUP(MONTH(tblSales[[#This Row],[Date]])/3,0)</f>
        <v>Q2</v>
      </c>
      <c r="P146" s="11">
        <f>YEAR(tblSales[[#This Row],[Date]])</f>
        <v>2024</v>
      </c>
      <c r="Q146" s="5">
        <f>tblSales[[#This Row],[Profit]]/tblSales[[#This Row],[Revenue]]</f>
        <v>0.2</v>
      </c>
      <c r="R146" s="8">
        <f>tblSales[[#This Row],[Revenue]]*1.1</f>
        <v>297000</v>
      </c>
    </row>
    <row r="147" spans="1:18">
      <c r="A147" t="s">
        <v>476</v>
      </c>
      <c r="B147" s="7">
        <v>45406</v>
      </c>
      <c r="C147" t="s">
        <v>19</v>
      </c>
      <c r="D147" t="s">
        <v>20</v>
      </c>
      <c r="E147" t="s">
        <v>477</v>
      </c>
      <c r="F147" t="s">
        <v>43</v>
      </c>
      <c r="G147" t="s">
        <v>478</v>
      </c>
      <c r="H147">
        <v>9</v>
      </c>
      <c r="I147" s="8">
        <v>225000</v>
      </c>
      <c r="J147" s="8">
        <v>33750</v>
      </c>
      <c r="K147">
        <v>5</v>
      </c>
      <c r="L147" s="8">
        <v>10000</v>
      </c>
      <c r="M147" t="s">
        <v>24</v>
      </c>
      <c r="N147" s="11" t="str">
        <f>TEXT(tblSales[[#This Row],[Date]],"mmmm")</f>
        <v>April</v>
      </c>
      <c r="O147" s="11" t="str">
        <f>"Q"&amp;ROUNDUP(MONTH(tblSales[[#This Row],[Date]])/3,0)</f>
        <v>Q2</v>
      </c>
      <c r="P147" s="11">
        <f>YEAR(tblSales[[#This Row],[Date]])</f>
        <v>2024</v>
      </c>
      <c r="Q147" s="5">
        <f>tblSales[[#This Row],[Profit]]/tblSales[[#This Row],[Revenue]]</f>
        <v>0.15</v>
      </c>
      <c r="R147" s="8">
        <f>tblSales[[#This Row],[Revenue]]*1.1</f>
        <v>247500</v>
      </c>
    </row>
    <row r="148" spans="1:18">
      <c r="A148" t="s">
        <v>479</v>
      </c>
      <c r="B148" s="7">
        <v>45406</v>
      </c>
      <c r="C148" t="s">
        <v>33</v>
      </c>
      <c r="D148" t="s">
        <v>34</v>
      </c>
      <c r="E148" t="s">
        <v>480</v>
      </c>
      <c r="F148" t="s">
        <v>36</v>
      </c>
      <c r="G148" t="s">
        <v>481</v>
      </c>
      <c r="H148">
        <v>120</v>
      </c>
      <c r="I148" s="8">
        <v>360000</v>
      </c>
      <c r="J148" s="8">
        <v>72000</v>
      </c>
      <c r="K148">
        <v>0</v>
      </c>
      <c r="L148" s="8">
        <v>12000</v>
      </c>
      <c r="M148" t="s">
        <v>38</v>
      </c>
      <c r="N148" s="11" t="str">
        <f>TEXT(tblSales[[#This Row],[Date]],"mmmm")</f>
        <v>April</v>
      </c>
      <c r="O148" s="11" t="str">
        <f>"Q"&amp;ROUNDUP(MONTH(tblSales[[#This Row],[Date]])/3,0)</f>
        <v>Q2</v>
      </c>
      <c r="P148" s="11">
        <f>YEAR(tblSales[[#This Row],[Date]])</f>
        <v>2024</v>
      </c>
      <c r="Q148" s="5">
        <f>tblSales[[#This Row],[Profit]]/tblSales[[#This Row],[Revenue]]</f>
        <v>0.2</v>
      </c>
      <c r="R148" s="8">
        <f>tblSales[[#This Row],[Revenue]]*1.1</f>
        <v>396000</v>
      </c>
    </row>
    <row r="149" spans="1:18">
      <c r="A149" t="s">
        <v>482</v>
      </c>
      <c r="B149" s="7">
        <v>45407</v>
      </c>
      <c r="C149" t="s">
        <v>26</v>
      </c>
      <c r="D149" t="s">
        <v>27</v>
      </c>
      <c r="E149" t="s">
        <v>483</v>
      </c>
      <c r="F149" t="s">
        <v>22</v>
      </c>
      <c r="G149" t="s">
        <v>484</v>
      </c>
      <c r="H149">
        <v>30</v>
      </c>
      <c r="I149" s="8">
        <v>150000</v>
      </c>
      <c r="J149" s="8">
        <v>30000</v>
      </c>
      <c r="K149">
        <v>0</v>
      </c>
      <c r="L149" s="8">
        <v>6000</v>
      </c>
      <c r="M149" t="s">
        <v>24</v>
      </c>
      <c r="N149" s="11" t="str">
        <f>TEXT(tblSales[[#This Row],[Date]],"mmmm")</f>
        <v>April</v>
      </c>
      <c r="O149" s="11" t="str">
        <f>"Q"&amp;ROUNDUP(MONTH(tblSales[[#This Row],[Date]])/3,0)</f>
        <v>Q2</v>
      </c>
      <c r="P149" s="11">
        <f>YEAR(tblSales[[#This Row],[Date]])</f>
        <v>2024</v>
      </c>
      <c r="Q149" s="5">
        <f>tblSales[[#This Row],[Profit]]/tblSales[[#This Row],[Revenue]]</f>
        <v>0.2</v>
      </c>
      <c r="R149" s="8">
        <f>tblSales[[#This Row],[Revenue]]*1.1</f>
        <v>165000</v>
      </c>
    </row>
    <row r="150" spans="1:18">
      <c r="A150" t="s">
        <v>485</v>
      </c>
      <c r="B150" s="7">
        <v>45408</v>
      </c>
      <c r="C150" t="s">
        <v>40</v>
      </c>
      <c r="D150" t="s">
        <v>126</v>
      </c>
      <c r="E150" t="s">
        <v>486</v>
      </c>
      <c r="F150" t="s">
        <v>29</v>
      </c>
      <c r="G150" t="s">
        <v>487</v>
      </c>
      <c r="H150">
        <v>200</v>
      </c>
      <c r="I150" s="8">
        <v>200000</v>
      </c>
      <c r="J150" s="8">
        <v>40000</v>
      </c>
      <c r="K150">
        <v>0</v>
      </c>
      <c r="L150" s="8">
        <v>8000</v>
      </c>
      <c r="M150" t="s">
        <v>31</v>
      </c>
      <c r="N150" s="11" t="str">
        <f>TEXT(tblSales[[#This Row],[Date]],"mmmm")</f>
        <v>April</v>
      </c>
      <c r="O150" s="11" t="str">
        <f>"Q"&amp;ROUNDUP(MONTH(tblSales[[#This Row],[Date]])/3,0)</f>
        <v>Q2</v>
      </c>
      <c r="P150" s="11">
        <f>YEAR(tblSales[[#This Row],[Date]])</f>
        <v>2024</v>
      </c>
      <c r="Q150" s="5">
        <f>tblSales[[#This Row],[Profit]]/tblSales[[#This Row],[Revenue]]</f>
        <v>0.2</v>
      </c>
      <c r="R150" s="8">
        <f>tblSales[[#This Row],[Revenue]]*1.1</f>
        <v>220000</v>
      </c>
    </row>
    <row r="151" spans="1:18">
      <c r="A151" t="s">
        <v>488</v>
      </c>
      <c r="B151" s="7">
        <v>45408</v>
      </c>
      <c r="C151" t="s">
        <v>19</v>
      </c>
      <c r="D151" t="s">
        <v>50</v>
      </c>
      <c r="E151" t="s">
        <v>489</v>
      </c>
      <c r="F151" t="s">
        <v>43</v>
      </c>
      <c r="G151" t="s">
        <v>490</v>
      </c>
      <c r="H151">
        <v>1</v>
      </c>
      <c r="I151" s="8">
        <v>250000</v>
      </c>
      <c r="J151" s="8">
        <v>37500</v>
      </c>
      <c r="K151">
        <v>0</v>
      </c>
      <c r="L151" s="8">
        <v>12000</v>
      </c>
      <c r="M151" t="s">
        <v>24</v>
      </c>
      <c r="N151" s="11" t="str">
        <f>TEXT(tblSales[[#This Row],[Date]],"mmmm")</f>
        <v>April</v>
      </c>
      <c r="O151" s="11" t="str">
        <f>"Q"&amp;ROUNDUP(MONTH(tblSales[[#This Row],[Date]])/3,0)</f>
        <v>Q2</v>
      </c>
      <c r="P151" s="11">
        <f>YEAR(tblSales[[#This Row],[Date]])</f>
        <v>2024</v>
      </c>
      <c r="Q151" s="5">
        <f>tblSales[[#This Row],[Profit]]/tblSales[[#This Row],[Revenue]]</f>
        <v>0.15</v>
      </c>
      <c r="R151" s="8">
        <f>tblSales[[#This Row],[Revenue]]*1.1</f>
        <v>275000</v>
      </c>
    </row>
    <row r="152" spans="1:18">
      <c r="A152" t="s">
        <v>491</v>
      </c>
      <c r="B152" s="7">
        <v>45409</v>
      </c>
      <c r="C152" t="s">
        <v>33</v>
      </c>
      <c r="D152" t="s">
        <v>54</v>
      </c>
      <c r="E152" t="s">
        <v>492</v>
      </c>
      <c r="F152" t="s">
        <v>36</v>
      </c>
      <c r="G152" t="s">
        <v>493</v>
      </c>
      <c r="H152">
        <v>110</v>
      </c>
      <c r="I152" s="8">
        <v>275000</v>
      </c>
      <c r="J152" s="8">
        <v>55000</v>
      </c>
      <c r="K152">
        <v>0</v>
      </c>
      <c r="L152" s="8">
        <v>10000</v>
      </c>
      <c r="M152" t="s">
        <v>38</v>
      </c>
      <c r="N152" s="11" t="str">
        <f>TEXT(tblSales[[#This Row],[Date]],"mmmm")</f>
        <v>April</v>
      </c>
      <c r="O152" s="11" t="str">
        <f>"Q"&amp;ROUNDUP(MONTH(tblSales[[#This Row],[Date]])/3,0)</f>
        <v>Q2</v>
      </c>
      <c r="P152" s="11">
        <f>YEAR(tblSales[[#This Row],[Date]])</f>
        <v>2024</v>
      </c>
      <c r="Q152" s="5">
        <f>tblSales[[#This Row],[Profit]]/tblSales[[#This Row],[Revenue]]</f>
        <v>0.2</v>
      </c>
      <c r="R152" s="8">
        <f>tblSales[[#This Row],[Revenue]]*1.1</f>
        <v>302500</v>
      </c>
    </row>
    <row r="153" spans="1:18">
      <c r="A153" t="s">
        <v>494</v>
      </c>
      <c r="B153" s="7">
        <v>45410</v>
      </c>
      <c r="C153" t="s">
        <v>26</v>
      </c>
      <c r="D153" t="s">
        <v>46</v>
      </c>
      <c r="E153" t="s">
        <v>495</v>
      </c>
      <c r="F153" t="s">
        <v>22</v>
      </c>
      <c r="G153" t="s">
        <v>496</v>
      </c>
      <c r="H153">
        <v>85</v>
      </c>
      <c r="I153" s="8">
        <v>127500</v>
      </c>
      <c r="J153" s="8">
        <v>25500</v>
      </c>
      <c r="K153">
        <v>0</v>
      </c>
      <c r="L153" s="8">
        <v>4000</v>
      </c>
      <c r="M153" t="s">
        <v>24</v>
      </c>
      <c r="N153" s="11" t="str">
        <f>TEXT(tblSales[[#This Row],[Date]],"mmmm")</f>
        <v>April</v>
      </c>
      <c r="O153" s="11" t="str">
        <f>"Q"&amp;ROUNDUP(MONTH(tblSales[[#This Row],[Date]])/3,0)</f>
        <v>Q2</v>
      </c>
      <c r="P153" s="11">
        <f>YEAR(tblSales[[#This Row],[Date]])</f>
        <v>2024</v>
      </c>
      <c r="Q153" s="5">
        <f>tblSales[[#This Row],[Profit]]/tblSales[[#This Row],[Revenue]]</f>
        <v>0.2</v>
      </c>
      <c r="R153" s="8">
        <f>tblSales[[#This Row],[Revenue]]*1.1</f>
        <v>140250</v>
      </c>
    </row>
    <row r="154" spans="1:18">
      <c r="A154" t="s">
        <v>497</v>
      </c>
      <c r="B154" s="7">
        <v>45410</v>
      </c>
      <c r="C154" t="s">
        <v>19</v>
      </c>
      <c r="D154" t="s">
        <v>20</v>
      </c>
      <c r="E154" t="s">
        <v>498</v>
      </c>
      <c r="F154" t="s">
        <v>29</v>
      </c>
      <c r="G154" t="s">
        <v>499</v>
      </c>
      <c r="H154">
        <v>25</v>
      </c>
      <c r="I154" s="8">
        <v>437500</v>
      </c>
      <c r="J154" s="8">
        <v>87500</v>
      </c>
      <c r="K154">
        <v>0</v>
      </c>
      <c r="L154" s="8">
        <v>12000</v>
      </c>
      <c r="M154" t="s">
        <v>31</v>
      </c>
      <c r="N154" s="11" t="str">
        <f>TEXT(tblSales[[#This Row],[Date]],"mmmm")</f>
        <v>April</v>
      </c>
      <c r="O154" s="11" t="str">
        <f>"Q"&amp;ROUNDUP(MONTH(tblSales[[#This Row],[Date]])/3,0)</f>
        <v>Q2</v>
      </c>
      <c r="P154" s="11">
        <f>YEAR(tblSales[[#This Row],[Date]])</f>
        <v>2024</v>
      </c>
      <c r="Q154" s="5">
        <f>tblSales[[#This Row],[Profit]]/tblSales[[#This Row],[Revenue]]</f>
        <v>0.2</v>
      </c>
      <c r="R154" s="8">
        <f>tblSales[[#This Row],[Revenue]]*1.1</f>
        <v>481250</v>
      </c>
    </row>
    <row r="155" spans="1:18">
      <c r="A155" t="s">
        <v>500</v>
      </c>
      <c r="B155" s="7">
        <v>45411</v>
      </c>
      <c r="C155" t="s">
        <v>33</v>
      </c>
      <c r="D155" t="s">
        <v>34</v>
      </c>
      <c r="E155" t="s">
        <v>501</v>
      </c>
      <c r="F155" t="s">
        <v>36</v>
      </c>
      <c r="G155" t="s">
        <v>502</v>
      </c>
      <c r="H155">
        <v>70</v>
      </c>
      <c r="I155" s="8">
        <v>175000</v>
      </c>
      <c r="J155" s="8">
        <v>35000</v>
      </c>
      <c r="K155">
        <v>0</v>
      </c>
      <c r="L155" s="8">
        <v>8000</v>
      </c>
      <c r="M155" t="s">
        <v>38</v>
      </c>
      <c r="N155" s="11" t="str">
        <f>TEXT(tblSales[[#This Row],[Date]],"mmmm")</f>
        <v>April</v>
      </c>
      <c r="O155" s="11" t="str">
        <f>"Q"&amp;ROUNDUP(MONTH(tblSales[[#This Row],[Date]])/3,0)</f>
        <v>Q2</v>
      </c>
      <c r="P155" s="11">
        <f>YEAR(tblSales[[#This Row],[Date]])</f>
        <v>2024</v>
      </c>
      <c r="Q155" s="5">
        <f>tblSales[[#This Row],[Profit]]/tblSales[[#This Row],[Revenue]]</f>
        <v>0.2</v>
      </c>
      <c r="R155" s="8">
        <f>tblSales[[#This Row],[Revenue]]*1.1</f>
        <v>192500</v>
      </c>
    </row>
    <row r="156" spans="1:18">
      <c r="A156" t="s">
        <v>503</v>
      </c>
      <c r="B156" s="7">
        <v>45412</v>
      </c>
      <c r="C156" t="s">
        <v>26</v>
      </c>
      <c r="D156" t="s">
        <v>27</v>
      </c>
      <c r="E156" t="s">
        <v>504</v>
      </c>
      <c r="F156" t="s">
        <v>22</v>
      </c>
      <c r="G156" t="s">
        <v>505</v>
      </c>
      <c r="H156">
        <v>65</v>
      </c>
      <c r="I156" s="8">
        <v>325000</v>
      </c>
      <c r="J156" s="8">
        <v>65000</v>
      </c>
      <c r="K156">
        <v>0</v>
      </c>
      <c r="L156" s="8">
        <v>10000</v>
      </c>
      <c r="M156" t="s">
        <v>24</v>
      </c>
      <c r="N156" s="11" t="str">
        <f>TEXT(tblSales[[#This Row],[Date]],"mmmm")</f>
        <v>April</v>
      </c>
      <c r="O156" s="11" t="str">
        <f>"Q"&amp;ROUNDUP(MONTH(tblSales[[#This Row],[Date]])/3,0)</f>
        <v>Q2</v>
      </c>
      <c r="P156" s="11">
        <f>YEAR(tblSales[[#This Row],[Date]])</f>
        <v>2024</v>
      </c>
      <c r="Q156" s="5">
        <f>tblSales[[#This Row],[Profit]]/tblSales[[#This Row],[Revenue]]</f>
        <v>0.2</v>
      </c>
      <c r="R156" s="8">
        <f>tblSales[[#This Row],[Revenue]]*1.1</f>
        <v>357500</v>
      </c>
    </row>
    <row r="157" spans="1:18">
      <c r="A157" t="s">
        <v>506</v>
      </c>
      <c r="B157" s="7">
        <v>45413</v>
      </c>
      <c r="C157" t="s">
        <v>40</v>
      </c>
      <c r="D157" t="s">
        <v>41</v>
      </c>
      <c r="E157" t="s">
        <v>507</v>
      </c>
      <c r="F157" t="s">
        <v>43</v>
      </c>
      <c r="G157" t="s">
        <v>508</v>
      </c>
      <c r="H157">
        <v>3</v>
      </c>
      <c r="I157" s="8">
        <v>225000</v>
      </c>
      <c r="J157" s="8">
        <v>33750</v>
      </c>
      <c r="K157">
        <v>5</v>
      </c>
      <c r="L157" s="8">
        <v>8000</v>
      </c>
      <c r="M157" t="s">
        <v>31</v>
      </c>
      <c r="N157" s="11" t="str">
        <f>TEXT(tblSales[[#This Row],[Date]],"mmmm")</f>
        <v>May</v>
      </c>
      <c r="O157" s="11" t="str">
        <f>"Q"&amp;ROUNDUP(MONTH(tblSales[[#This Row],[Date]])/3,0)</f>
        <v>Q2</v>
      </c>
      <c r="P157" s="11">
        <f>YEAR(tblSales[[#This Row],[Date]])</f>
        <v>2024</v>
      </c>
      <c r="Q157" s="5">
        <f>tblSales[[#This Row],[Profit]]/tblSales[[#This Row],[Revenue]]</f>
        <v>0.15</v>
      </c>
      <c r="R157" s="8">
        <f>tblSales[[#This Row],[Revenue]]*1.1</f>
        <v>247500</v>
      </c>
    </row>
    <row r="158" spans="1:18">
      <c r="A158" t="s">
        <v>509</v>
      </c>
      <c r="B158" s="7">
        <v>45414</v>
      </c>
      <c r="C158" t="s">
        <v>19</v>
      </c>
      <c r="D158" t="s">
        <v>20</v>
      </c>
      <c r="E158" t="s">
        <v>510</v>
      </c>
      <c r="F158" t="s">
        <v>29</v>
      </c>
      <c r="G158" t="s">
        <v>511</v>
      </c>
      <c r="H158">
        <v>12</v>
      </c>
      <c r="I158" s="8">
        <v>240000</v>
      </c>
      <c r="J158" s="8">
        <v>48000</v>
      </c>
      <c r="K158">
        <v>0</v>
      </c>
      <c r="L158" s="8">
        <v>10000</v>
      </c>
      <c r="M158" t="s">
        <v>24</v>
      </c>
      <c r="N158" s="11" t="str">
        <f>TEXT(tblSales[[#This Row],[Date]],"mmmm")</f>
        <v>May</v>
      </c>
      <c r="O158" s="11" t="str">
        <f>"Q"&amp;ROUNDUP(MONTH(tblSales[[#This Row],[Date]])/3,0)</f>
        <v>Q2</v>
      </c>
      <c r="P158" s="11">
        <f>YEAR(tblSales[[#This Row],[Date]])</f>
        <v>2024</v>
      </c>
      <c r="Q158" s="5">
        <f>tblSales[[#This Row],[Profit]]/tblSales[[#This Row],[Revenue]]</f>
        <v>0.2</v>
      </c>
      <c r="R158" s="8">
        <f>tblSales[[#This Row],[Revenue]]*1.1</f>
        <v>264000</v>
      </c>
    </row>
    <row r="159" spans="1:18">
      <c r="A159" t="s">
        <v>512</v>
      </c>
      <c r="B159" s="7">
        <v>45414</v>
      </c>
      <c r="C159" t="s">
        <v>33</v>
      </c>
      <c r="D159" t="s">
        <v>54</v>
      </c>
      <c r="E159" t="s">
        <v>513</v>
      </c>
      <c r="F159" t="s">
        <v>36</v>
      </c>
      <c r="G159" t="s">
        <v>514</v>
      </c>
      <c r="H159">
        <v>40</v>
      </c>
      <c r="I159" s="8">
        <v>400000</v>
      </c>
      <c r="J159" s="8">
        <v>80000</v>
      </c>
      <c r="K159">
        <v>0</v>
      </c>
      <c r="L159" s="8">
        <v>15000</v>
      </c>
      <c r="M159" t="s">
        <v>38</v>
      </c>
      <c r="N159" s="11" t="str">
        <f>TEXT(tblSales[[#This Row],[Date]],"mmmm")</f>
        <v>May</v>
      </c>
      <c r="O159" s="11" t="str">
        <f>"Q"&amp;ROUNDUP(MONTH(tblSales[[#This Row],[Date]])/3,0)</f>
        <v>Q2</v>
      </c>
      <c r="P159" s="11">
        <f>YEAR(tblSales[[#This Row],[Date]])</f>
        <v>2024</v>
      </c>
      <c r="Q159" s="5">
        <f>tblSales[[#This Row],[Profit]]/tblSales[[#This Row],[Revenue]]</f>
        <v>0.2</v>
      </c>
      <c r="R159" s="8">
        <f>tblSales[[#This Row],[Revenue]]*1.1</f>
        <v>440000</v>
      </c>
    </row>
    <row r="160" spans="1:18">
      <c r="A160" t="s">
        <v>515</v>
      </c>
      <c r="B160" s="7">
        <v>45415</v>
      </c>
      <c r="C160" t="s">
        <v>26</v>
      </c>
      <c r="D160" t="s">
        <v>71</v>
      </c>
      <c r="E160" t="s">
        <v>516</v>
      </c>
      <c r="F160" t="s">
        <v>22</v>
      </c>
      <c r="G160" t="s">
        <v>517</v>
      </c>
      <c r="H160">
        <v>15</v>
      </c>
      <c r="I160" s="8">
        <v>150000</v>
      </c>
      <c r="J160" s="8">
        <v>30000</v>
      </c>
      <c r="K160">
        <v>0</v>
      </c>
      <c r="L160" s="8">
        <v>5000</v>
      </c>
      <c r="M160" t="s">
        <v>24</v>
      </c>
      <c r="N160" s="11" t="str">
        <f>TEXT(tblSales[[#This Row],[Date]],"mmmm")</f>
        <v>May</v>
      </c>
      <c r="O160" s="11" t="str">
        <f>"Q"&amp;ROUNDUP(MONTH(tblSales[[#This Row],[Date]])/3,0)</f>
        <v>Q2</v>
      </c>
      <c r="P160" s="11">
        <f>YEAR(tblSales[[#This Row],[Date]])</f>
        <v>2024</v>
      </c>
      <c r="Q160" s="5">
        <f>tblSales[[#This Row],[Profit]]/tblSales[[#This Row],[Revenue]]</f>
        <v>0.2</v>
      </c>
      <c r="R160" s="8">
        <f>tblSales[[#This Row],[Revenue]]*1.1</f>
        <v>165000</v>
      </c>
    </row>
    <row r="161" spans="1:18">
      <c r="A161" t="s">
        <v>518</v>
      </c>
      <c r="B161" s="7">
        <v>45416</v>
      </c>
      <c r="C161" t="s">
        <v>40</v>
      </c>
      <c r="D161" t="s">
        <v>93</v>
      </c>
      <c r="E161" t="s">
        <v>519</v>
      </c>
      <c r="F161" t="s">
        <v>29</v>
      </c>
      <c r="G161" t="s">
        <v>520</v>
      </c>
      <c r="H161">
        <v>8</v>
      </c>
      <c r="I161" s="8">
        <v>320000</v>
      </c>
      <c r="J161" s="8">
        <v>64000</v>
      </c>
      <c r="K161">
        <v>0</v>
      </c>
      <c r="L161" s="8">
        <v>10000</v>
      </c>
      <c r="M161" t="s">
        <v>31</v>
      </c>
      <c r="N161" s="11" t="str">
        <f>TEXT(tblSales[[#This Row],[Date]],"mmmm")</f>
        <v>May</v>
      </c>
      <c r="O161" s="11" t="str">
        <f>"Q"&amp;ROUNDUP(MONTH(tblSales[[#This Row],[Date]])/3,0)</f>
        <v>Q2</v>
      </c>
      <c r="P161" s="11">
        <f>YEAR(tblSales[[#This Row],[Date]])</f>
        <v>2024</v>
      </c>
      <c r="Q161" s="5">
        <f>tblSales[[#This Row],[Profit]]/tblSales[[#This Row],[Revenue]]</f>
        <v>0.2</v>
      </c>
      <c r="R161" s="8">
        <f>tblSales[[#This Row],[Revenue]]*1.1</f>
        <v>352000</v>
      </c>
    </row>
    <row r="162" spans="1:18">
      <c r="A162" t="s">
        <v>521</v>
      </c>
      <c r="B162" s="7">
        <v>45416</v>
      </c>
      <c r="C162" t="s">
        <v>19</v>
      </c>
      <c r="D162" t="s">
        <v>113</v>
      </c>
      <c r="E162" t="s">
        <v>522</v>
      </c>
      <c r="F162" t="s">
        <v>43</v>
      </c>
      <c r="G162" t="s">
        <v>523</v>
      </c>
      <c r="H162">
        <v>6</v>
      </c>
      <c r="I162" s="8">
        <v>150000</v>
      </c>
      <c r="J162" s="8">
        <v>22500</v>
      </c>
      <c r="K162">
        <v>0</v>
      </c>
      <c r="L162" s="8">
        <v>8000</v>
      </c>
      <c r="M162" t="s">
        <v>24</v>
      </c>
      <c r="N162" s="11" t="str">
        <f>TEXT(tblSales[[#This Row],[Date]],"mmmm")</f>
        <v>May</v>
      </c>
      <c r="O162" s="11" t="str">
        <f>"Q"&amp;ROUNDUP(MONTH(tblSales[[#This Row],[Date]])/3,0)</f>
        <v>Q2</v>
      </c>
      <c r="P162" s="11">
        <f>YEAR(tblSales[[#This Row],[Date]])</f>
        <v>2024</v>
      </c>
      <c r="Q162" s="5">
        <f>tblSales[[#This Row],[Profit]]/tblSales[[#This Row],[Revenue]]</f>
        <v>0.15</v>
      </c>
      <c r="R162" s="8">
        <f>tblSales[[#This Row],[Revenue]]*1.1</f>
        <v>165000</v>
      </c>
    </row>
    <row r="163" spans="1:18">
      <c r="A163" t="s">
        <v>524</v>
      </c>
      <c r="B163" s="7">
        <v>45417</v>
      </c>
      <c r="C163" t="s">
        <v>33</v>
      </c>
      <c r="D163" t="s">
        <v>34</v>
      </c>
      <c r="E163" t="s">
        <v>525</v>
      </c>
      <c r="F163" t="s">
        <v>36</v>
      </c>
      <c r="G163" t="s">
        <v>526</v>
      </c>
      <c r="H163">
        <v>25</v>
      </c>
      <c r="I163" s="8">
        <v>312500</v>
      </c>
      <c r="J163" s="8">
        <v>62500</v>
      </c>
      <c r="K163">
        <v>0</v>
      </c>
      <c r="L163" s="8">
        <v>8000</v>
      </c>
      <c r="M163" t="s">
        <v>38</v>
      </c>
      <c r="N163" s="11" t="str">
        <f>TEXT(tblSales[[#This Row],[Date]],"mmmm")</f>
        <v>May</v>
      </c>
      <c r="O163" s="11" t="str">
        <f>"Q"&amp;ROUNDUP(MONTH(tblSales[[#This Row],[Date]])/3,0)</f>
        <v>Q2</v>
      </c>
      <c r="P163" s="11">
        <f>YEAR(tblSales[[#This Row],[Date]])</f>
        <v>2024</v>
      </c>
      <c r="Q163" s="5">
        <f>tblSales[[#This Row],[Profit]]/tblSales[[#This Row],[Revenue]]</f>
        <v>0.2</v>
      </c>
      <c r="R163" s="8">
        <f>tblSales[[#This Row],[Revenue]]*1.1</f>
        <v>343750</v>
      </c>
    </row>
    <row r="164" spans="1:18">
      <c r="A164" t="s">
        <v>527</v>
      </c>
      <c r="B164" s="7">
        <v>45418</v>
      </c>
      <c r="C164" t="s">
        <v>26</v>
      </c>
      <c r="D164" t="s">
        <v>27</v>
      </c>
      <c r="E164" t="s">
        <v>528</v>
      </c>
      <c r="F164" t="s">
        <v>22</v>
      </c>
      <c r="G164" t="s">
        <v>529</v>
      </c>
      <c r="H164">
        <v>10</v>
      </c>
      <c r="I164" s="8">
        <v>125000</v>
      </c>
      <c r="J164" s="8">
        <v>25000</v>
      </c>
      <c r="K164">
        <v>0</v>
      </c>
      <c r="L164" s="8">
        <v>5000</v>
      </c>
      <c r="M164" t="s">
        <v>24</v>
      </c>
      <c r="N164" s="11" t="str">
        <f>TEXT(tblSales[[#This Row],[Date]],"mmmm")</f>
        <v>May</v>
      </c>
      <c r="O164" s="11" t="str">
        <f>"Q"&amp;ROUNDUP(MONTH(tblSales[[#This Row],[Date]])/3,0)</f>
        <v>Q2</v>
      </c>
      <c r="P164" s="11">
        <f>YEAR(tblSales[[#This Row],[Date]])</f>
        <v>2024</v>
      </c>
      <c r="Q164" s="5">
        <f>tblSales[[#This Row],[Profit]]/tblSales[[#This Row],[Revenue]]</f>
        <v>0.2</v>
      </c>
      <c r="R164" s="8">
        <f>tblSales[[#This Row],[Revenue]]*1.1</f>
        <v>137500</v>
      </c>
    </row>
    <row r="165" spans="1:18">
      <c r="A165" t="s">
        <v>530</v>
      </c>
      <c r="B165" s="7">
        <v>45418</v>
      </c>
      <c r="C165" t="s">
        <v>40</v>
      </c>
      <c r="D165" t="s">
        <v>61</v>
      </c>
      <c r="E165" t="s">
        <v>531</v>
      </c>
      <c r="F165" t="s">
        <v>29</v>
      </c>
      <c r="G165" t="s">
        <v>532</v>
      </c>
      <c r="H165">
        <v>7</v>
      </c>
      <c r="I165" s="8">
        <v>280000</v>
      </c>
      <c r="J165" s="8">
        <v>56000</v>
      </c>
      <c r="K165">
        <v>0</v>
      </c>
      <c r="L165" s="8">
        <v>8000</v>
      </c>
      <c r="M165" t="s">
        <v>31</v>
      </c>
      <c r="N165" s="11" t="str">
        <f>TEXT(tblSales[[#This Row],[Date]],"mmmm")</f>
        <v>May</v>
      </c>
      <c r="O165" s="11" t="str">
        <f>"Q"&amp;ROUNDUP(MONTH(tblSales[[#This Row],[Date]])/3,0)</f>
        <v>Q2</v>
      </c>
      <c r="P165" s="11">
        <f>YEAR(tblSales[[#This Row],[Date]])</f>
        <v>2024</v>
      </c>
      <c r="Q165" s="5">
        <f>tblSales[[#This Row],[Profit]]/tblSales[[#This Row],[Revenue]]</f>
        <v>0.2</v>
      </c>
      <c r="R165" s="8">
        <f>tblSales[[#This Row],[Revenue]]*1.1</f>
        <v>308000</v>
      </c>
    </row>
    <row r="166" spans="1:18">
      <c r="A166" t="s">
        <v>533</v>
      </c>
      <c r="B166" s="7">
        <v>45419</v>
      </c>
      <c r="C166" t="s">
        <v>19</v>
      </c>
      <c r="D166" t="s">
        <v>20</v>
      </c>
      <c r="E166" t="s">
        <v>534</v>
      </c>
      <c r="F166" t="s">
        <v>43</v>
      </c>
      <c r="G166" t="s">
        <v>535</v>
      </c>
      <c r="H166">
        <v>40</v>
      </c>
      <c r="I166" s="8">
        <v>100000</v>
      </c>
      <c r="J166" s="8">
        <v>15000</v>
      </c>
      <c r="K166">
        <v>0</v>
      </c>
      <c r="L166" s="8">
        <v>4000</v>
      </c>
      <c r="M166" t="s">
        <v>24</v>
      </c>
      <c r="N166" s="11" t="str">
        <f>TEXT(tblSales[[#This Row],[Date]],"mmmm")</f>
        <v>May</v>
      </c>
      <c r="O166" s="11" t="str">
        <f>"Q"&amp;ROUNDUP(MONTH(tblSales[[#This Row],[Date]])/3,0)</f>
        <v>Q2</v>
      </c>
      <c r="P166" s="11">
        <f>YEAR(tblSales[[#This Row],[Date]])</f>
        <v>2024</v>
      </c>
      <c r="Q166" s="5">
        <f>tblSales[[#This Row],[Profit]]/tblSales[[#This Row],[Revenue]]</f>
        <v>0.15</v>
      </c>
      <c r="R166" s="8">
        <f>tblSales[[#This Row],[Revenue]]*1.1</f>
        <v>110000</v>
      </c>
    </row>
    <row r="167" spans="1:18">
      <c r="A167" t="s">
        <v>536</v>
      </c>
      <c r="B167" s="7">
        <v>45420</v>
      </c>
      <c r="C167" t="s">
        <v>33</v>
      </c>
      <c r="D167" t="s">
        <v>54</v>
      </c>
      <c r="E167" t="s">
        <v>537</v>
      </c>
      <c r="F167" t="s">
        <v>36</v>
      </c>
      <c r="G167" t="s">
        <v>538</v>
      </c>
      <c r="H167">
        <v>80</v>
      </c>
      <c r="I167" s="8">
        <v>200000</v>
      </c>
      <c r="J167" s="8">
        <v>40000</v>
      </c>
      <c r="K167">
        <v>0</v>
      </c>
      <c r="L167" s="8">
        <v>10000</v>
      </c>
      <c r="M167" t="s">
        <v>38</v>
      </c>
      <c r="N167" s="11" t="str">
        <f>TEXT(tblSales[[#This Row],[Date]],"mmmm")</f>
        <v>May</v>
      </c>
      <c r="O167" s="11" t="str">
        <f>"Q"&amp;ROUNDUP(MONTH(tblSales[[#This Row],[Date]])/3,0)</f>
        <v>Q2</v>
      </c>
      <c r="P167" s="11">
        <f>YEAR(tblSales[[#This Row],[Date]])</f>
        <v>2024</v>
      </c>
      <c r="Q167" s="5">
        <f>tblSales[[#This Row],[Profit]]/tblSales[[#This Row],[Revenue]]</f>
        <v>0.2</v>
      </c>
      <c r="R167" s="8">
        <f>tblSales[[#This Row],[Revenue]]*1.1</f>
        <v>220000</v>
      </c>
    </row>
    <row r="168" spans="1:18">
      <c r="A168" t="s">
        <v>539</v>
      </c>
      <c r="B168" s="7">
        <v>45420</v>
      </c>
      <c r="C168" t="s">
        <v>26</v>
      </c>
      <c r="D168" t="s">
        <v>46</v>
      </c>
      <c r="E168" t="s">
        <v>540</v>
      </c>
      <c r="F168" t="s">
        <v>22</v>
      </c>
      <c r="G168" t="s">
        <v>541</v>
      </c>
      <c r="H168">
        <v>18</v>
      </c>
      <c r="I168" s="8">
        <v>180000</v>
      </c>
      <c r="J168" s="8">
        <v>36000</v>
      </c>
      <c r="K168">
        <v>0</v>
      </c>
      <c r="L168" s="8">
        <v>6000</v>
      </c>
      <c r="M168" t="s">
        <v>24</v>
      </c>
      <c r="N168" s="11" t="str">
        <f>TEXT(tblSales[[#This Row],[Date]],"mmmm")</f>
        <v>May</v>
      </c>
      <c r="O168" s="11" t="str">
        <f>"Q"&amp;ROUNDUP(MONTH(tblSales[[#This Row],[Date]])/3,0)</f>
        <v>Q2</v>
      </c>
      <c r="P168" s="11">
        <f>YEAR(tblSales[[#This Row],[Date]])</f>
        <v>2024</v>
      </c>
      <c r="Q168" s="5">
        <f>tblSales[[#This Row],[Profit]]/tblSales[[#This Row],[Revenue]]</f>
        <v>0.2</v>
      </c>
      <c r="R168" s="8">
        <f>tblSales[[#This Row],[Revenue]]*1.1</f>
        <v>198000</v>
      </c>
    </row>
    <row r="169" spans="1:18">
      <c r="A169" t="s">
        <v>542</v>
      </c>
      <c r="B169" s="7">
        <v>45421</v>
      </c>
      <c r="C169" t="s">
        <v>40</v>
      </c>
      <c r="D169" t="s">
        <v>41</v>
      </c>
      <c r="E169" t="s">
        <v>543</v>
      </c>
      <c r="F169" t="s">
        <v>29</v>
      </c>
      <c r="G169" t="s">
        <v>544</v>
      </c>
      <c r="H169">
        <v>10</v>
      </c>
      <c r="I169" s="8">
        <v>250000</v>
      </c>
      <c r="J169" s="8">
        <v>50000</v>
      </c>
      <c r="K169">
        <v>0</v>
      </c>
      <c r="L169" s="8">
        <v>8000</v>
      </c>
      <c r="M169" t="s">
        <v>31</v>
      </c>
      <c r="N169" s="11" t="str">
        <f>TEXT(tblSales[[#This Row],[Date]],"mmmm")</f>
        <v>May</v>
      </c>
      <c r="O169" s="11" t="str">
        <f>"Q"&amp;ROUNDUP(MONTH(tblSales[[#This Row],[Date]])/3,0)</f>
        <v>Q2</v>
      </c>
      <c r="P169" s="11">
        <f>YEAR(tblSales[[#This Row],[Date]])</f>
        <v>2024</v>
      </c>
      <c r="Q169" s="5">
        <f>tblSales[[#This Row],[Profit]]/tblSales[[#This Row],[Revenue]]</f>
        <v>0.2</v>
      </c>
      <c r="R169" s="8">
        <f>tblSales[[#This Row],[Revenue]]*1.1</f>
        <v>275000</v>
      </c>
    </row>
    <row r="170" spans="1:18">
      <c r="A170" t="s">
        <v>545</v>
      </c>
      <c r="B170" s="7">
        <v>45422</v>
      </c>
      <c r="C170" t="s">
        <v>19</v>
      </c>
      <c r="D170" t="s">
        <v>50</v>
      </c>
      <c r="E170" t="s">
        <v>546</v>
      </c>
      <c r="F170" t="s">
        <v>43</v>
      </c>
      <c r="G170" t="s">
        <v>547</v>
      </c>
      <c r="H170">
        <v>20</v>
      </c>
      <c r="I170" s="8">
        <v>150000</v>
      </c>
      <c r="J170" s="8">
        <v>22500</v>
      </c>
      <c r="K170">
        <v>0</v>
      </c>
      <c r="L170" s="8">
        <v>5000</v>
      </c>
      <c r="M170" t="s">
        <v>24</v>
      </c>
      <c r="N170" s="11" t="str">
        <f>TEXT(tblSales[[#This Row],[Date]],"mmmm")</f>
        <v>May</v>
      </c>
      <c r="O170" s="11" t="str">
        <f>"Q"&amp;ROUNDUP(MONTH(tblSales[[#This Row],[Date]])/3,0)</f>
        <v>Q2</v>
      </c>
      <c r="P170" s="11">
        <f>YEAR(tblSales[[#This Row],[Date]])</f>
        <v>2024</v>
      </c>
      <c r="Q170" s="5">
        <f>tblSales[[#This Row],[Profit]]/tblSales[[#This Row],[Revenue]]</f>
        <v>0.15</v>
      </c>
      <c r="R170" s="8">
        <f>tblSales[[#This Row],[Revenue]]*1.1</f>
        <v>165000</v>
      </c>
    </row>
    <row r="171" spans="1:18">
      <c r="A171" t="s">
        <v>548</v>
      </c>
      <c r="B171" s="7">
        <v>45422</v>
      </c>
      <c r="C171" t="s">
        <v>33</v>
      </c>
      <c r="D171" t="s">
        <v>34</v>
      </c>
      <c r="E171" t="s">
        <v>549</v>
      </c>
      <c r="F171" t="s">
        <v>36</v>
      </c>
      <c r="G171" t="s">
        <v>550</v>
      </c>
      <c r="H171">
        <v>65</v>
      </c>
      <c r="I171" s="8">
        <v>162500</v>
      </c>
      <c r="J171" s="8">
        <v>32500</v>
      </c>
      <c r="K171">
        <v>0</v>
      </c>
      <c r="L171" s="8">
        <v>6000</v>
      </c>
      <c r="M171" t="s">
        <v>38</v>
      </c>
      <c r="N171" s="11" t="str">
        <f>TEXT(tblSales[[#This Row],[Date]],"mmmm")</f>
        <v>May</v>
      </c>
      <c r="O171" s="11" t="str">
        <f>"Q"&amp;ROUNDUP(MONTH(tblSales[[#This Row],[Date]])/3,0)</f>
        <v>Q2</v>
      </c>
      <c r="P171" s="11">
        <f>YEAR(tblSales[[#This Row],[Date]])</f>
        <v>2024</v>
      </c>
      <c r="Q171" s="5">
        <f>tblSales[[#This Row],[Profit]]/tblSales[[#This Row],[Revenue]]</f>
        <v>0.2</v>
      </c>
      <c r="R171" s="8">
        <f>tblSales[[#This Row],[Revenue]]*1.1</f>
        <v>178750</v>
      </c>
    </row>
    <row r="172" spans="1:18">
      <c r="A172" t="s">
        <v>551</v>
      </c>
      <c r="B172" s="7">
        <v>45423</v>
      </c>
      <c r="C172" t="s">
        <v>26</v>
      </c>
      <c r="D172" t="s">
        <v>27</v>
      </c>
      <c r="E172" t="s">
        <v>552</v>
      </c>
      <c r="F172" t="s">
        <v>22</v>
      </c>
      <c r="G172" t="s">
        <v>553</v>
      </c>
      <c r="H172">
        <v>130</v>
      </c>
      <c r="I172" s="8">
        <v>195000</v>
      </c>
      <c r="J172" s="8">
        <v>39000</v>
      </c>
      <c r="K172">
        <v>0</v>
      </c>
      <c r="L172" s="8">
        <v>6000</v>
      </c>
      <c r="M172" t="s">
        <v>24</v>
      </c>
      <c r="N172" s="11" t="str">
        <f>TEXT(tblSales[[#This Row],[Date]],"mmmm")</f>
        <v>May</v>
      </c>
      <c r="O172" s="11" t="str">
        <f>"Q"&amp;ROUNDUP(MONTH(tblSales[[#This Row],[Date]])/3,0)</f>
        <v>Q2</v>
      </c>
      <c r="P172" s="11">
        <f>YEAR(tblSales[[#This Row],[Date]])</f>
        <v>2024</v>
      </c>
      <c r="Q172" s="5">
        <f>tblSales[[#This Row],[Profit]]/tblSales[[#This Row],[Revenue]]</f>
        <v>0.2</v>
      </c>
      <c r="R172" s="8">
        <f>tblSales[[#This Row],[Revenue]]*1.1</f>
        <v>214500</v>
      </c>
    </row>
    <row r="173" spans="1:18">
      <c r="A173" t="s">
        <v>554</v>
      </c>
      <c r="B173" s="7">
        <v>45424</v>
      </c>
      <c r="C173" t="s">
        <v>40</v>
      </c>
      <c r="D173" t="s">
        <v>126</v>
      </c>
      <c r="E173" t="s">
        <v>555</v>
      </c>
      <c r="F173" t="s">
        <v>29</v>
      </c>
      <c r="G173" t="s">
        <v>556</v>
      </c>
      <c r="H173">
        <v>35</v>
      </c>
      <c r="I173" s="8">
        <v>87500</v>
      </c>
      <c r="J173" s="8">
        <v>17500</v>
      </c>
      <c r="K173">
        <v>0</v>
      </c>
      <c r="L173" s="8">
        <v>4000</v>
      </c>
      <c r="M173" t="s">
        <v>31</v>
      </c>
      <c r="N173" s="11" t="str">
        <f>TEXT(tblSales[[#This Row],[Date]],"mmmm")</f>
        <v>May</v>
      </c>
      <c r="O173" s="11" t="str">
        <f>"Q"&amp;ROUNDUP(MONTH(tblSales[[#This Row],[Date]])/3,0)</f>
        <v>Q2</v>
      </c>
      <c r="P173" s="11">
        <f>YEAR(tblSales[[#This Row],[Date]])</f>
        <v>2024</v>
      </c>
      <c r="Q173" s="5">
        <f>tblSales[[#This Row],[Profit]]/tblSales[[#This Row],[Revenue]]</f>
        <v>0.2</v>
      </c>
      <c r="R173" s="8">
        <f>tblSales[[#This Row],[Revenue]]*1.1</f>
        <v>96250</v>
      </c>
    </row>
    <row r="174" spans="1:18">
      <c r="A174" t="s">
        <v>557</v>
      </c>
      <c r="B174" s="7">
        <v>45424</v>
      </c>
      <c r="C174" t="s">
        <v>19</v>
      </c>
      <c r="D174" t="s">
        <v>20</v>
      </c>
      <c r="E174" t="s">
        <v>558</v>
      </c>
      <c r="F174" t="s">
        <v>43</v>
      </c>
      <c r="G174" t="s">
        <v>559</v>
      </c>
      <c r="H174">
        <v>22</v>
      </c>
      <c r="I174" s="8">
        <v>165000</v>
      </c>
      <c r="J174" s="8">
        <v>24750</v>
      </c>
      <c r="K174">
        <v>0</v>
      </c>
      <c r="L174" s="8">
        <v>6000</v>
      </c>
      <c r="M174" t="s">
        <v>24</v>
      </c>
      <c r="N174" s="11" t="str">
        <f>TEXT(tblSales[[#This Row],[Date]],"mmmm")</f>
        <v>May</v>
      </c>
      <c r="O174" s="11" t="str">
        <f>"Q"&amp;ROUNDUP(MONTH(tblSales[[#This Row],[Date]])/3,0)</f>
        <v>Q2</v>
      </c>
      <c r="P174" s="11">
        <f>YEAR(tblSales[[#This Row],[Date]])</f>
        <v>2024</v>
      </c>
      <c r="Q174" s="5">
        <f>tblSales[[#This Row],[Profit]]/tblSales[[#This Row],[Revenue]]</f>
        <v>0.15</v>
      </c>
      <c r="R174" s="8">
        <f>tblSales[[#This Row],[Revenue]]*1.1</f>
        <v>181500</v>
      </c>
    </row>
    <row r="175" spans="1:18">
      <c r="A175" t="s">
        <v>560</v>
      </c>
      <c r="B175" s="7">
        <v>45425</v>
      </c>
      <c r="C175" t="s">
        <v>33</v>
      </c>
      <c r="D175" t="s">
        <v>54</v>
      </c>
      <c r="E175" t="s">
        <v>561</v>
      </c>
      <c r="F175" t="s">
        <v>36</v>
      </c>
      <c r="G175" t="s">
        <v>562</v>
      </c>
      <c r="H175">
        <v>90</v>
      </c>
      <c r="I175" s="8">
        <v>180000</v>
      </c>
      <c r="J175" s="8">
        <v>36000</v>
      </c>
      <c r="K175">
        <v>0</v>
      </c>
      <c r="L175" s="8">
        <v>10000</v>
      </c>
      <c r="M175" t="s">
        <v>38</v>
      </c>
      <c r="N175" s="11" t="str">
        <f>TEXT(tblSales[[#This Row],[Date]],"mmmm")</f>
        <v>May</v>
      </c>
      <c r="O175" s="11" t="str">
        <f>"Q"&amp;ROUNDUP(MONTH(tblSales[[#This Row],[Date]])/3,0)</f>
        <v>Q2</v>
      </c>
      <c r="P175" s="11">
        <f>YEAR(tblSales[[#This Row],[Date]])</f>
        <v>2024</v>
      </c>
      <c r="Q175" s="5">
        <f>tblSales[[#This Row],[Profit]]/tblSales[[#This Row],[Revenue]]</f>
        <v>0.2</v>
      </c>
      <c r="R175" s="8">
        <f>tblSales[[#This Row],[Revenue]]*1.1</f>
        <v>198000</v>
      </c>
    </row>
    <row r="176" spans="1:18">
      <c r="A176" t="s">
        <v>563</v>
      </c>
      <c r="B176" s="7">
        <v>45426</v>
      </c>
      <c r="C176" t="s">
        <v>26</v>
      </c>
      <c r="D176" t="s">
        <v>71</v>
      </c>
      <c r="E176" t="s">
        <v>564</v>
      </c>
      <c r="F176" t="s">
        <v>22</v>
      </c>
      <c r="G176" t="s">
        <v>565</v>
      </c>
      <c r="H176">
        <v>25</v>
      </c>
      <c r="I176" s="8">
        <v>187500</v>
      </c>
      <c r="J176" s="8">
        <v>37500</v>
      </c>
      <c r="K176">
        <v>0</v>
      </c>
      <c r="L176" s="8">
        <v>8000</v>
      </c>
      <c r="M176" t="s">
        <v>24</v>
      </c>
      <c r="N176" s="11" t="str">
        <f>TEXT(tblSales[[#This Row],[Date]],"mmmm")</f>
        <v>May</v>
      </c>
      <c r="O176" s="11" t="str">
        <f>"Q"&amp;ROUNDUP(MONTH(tblSales[[#This Row],[Date]])/3,0)</f>
        <v>Q2</v>
      </c>
      <c r="P176" s="11">
        <f>YEAR(tblSales[[#This Row],[Date]])</f>
        <v>2024</v>
      </c>
      <c r="Q176" s="5">
        <f>tblSales[[#This Row],[Profit]]/tblSales[[#This Row],[Revenue]]</f>
        <v>0.2</v>
      </c>
      <c r="R176" s="8">
        <f>tblSales[[#This Row],[Revenue]]*1.1</f>
        <v>206250</v>
      </c>
    </row>
    <row r="177" spans="1:18">
      <c r="A177" t="s">
        <v>566</v>
      </c>
      <c r="B177" s="7">
        <v>45426</v>
      </c>
      <c r="C177" t="s">
        <v>40</v>
      </c>
      <c r="D177" t="s">
        <v>41</v>
      </c>
      <c r="E177" t="s">
        <v>567</v>
      </c>
      <c r="F177" t="s">
        <v>29</v>
      </c>
      <c r="G177" t="s">
        <v>568</v>
      </c>
      <c r="H177">
        <v>14</v>
      </c>
      <c r="I177" s="8">
        <v>350000</v>
      </c>
      <c r="J177" s="8">
        <v>70000</v>
      </c>
      <c r="K177">
        <v>0</v>
      </c>
      <c r="L177" s="8">
        <v>10000</v>
      </c>
      <c r="M177" t="s">
        <v>31</v>
      </c>
      <c r="N177" s="11" t="str">
        <f>TEXT(tblSales[[#This Row],[Date]],"mmmm")</f>
        <v>May</v>
      </c>
      <c r="O177" s="11" t="str">
        <f>"Q"&amp;ROUNDUP(MONTH(tblSales[[#This Row],[Date]])/3,0)</f>
        <v>Q2</v>
      </c>
      <c r="P177" s="11">
        <f>YEAR(tblSales[[#This Row],[Date]])</f>
        <v>2024</v>
      </c>
      <c r="Q177" s="5">
        <f>tblSales[[#This Row],[Profit]]/tblSales[[#This Row],[Revenue]]</f>
        <v>0.2</v>
      </c>
      <c r="R177" s="8">
        <f>tblSales[[#This Row],[Revenue]]*1.1</f>
        <v>385000</v>
      </c>
    </row>
    <row r="178" spans="1:18">
      <c r="A178" t="s">
        <v>569</v>
      </c>
      <c r="B178" s="7">
        <v>45427</v>
      </c>
      <c r="C178" t="s">
        <v>19</v>
      </c>
      <c r="D178" t="s">
        <v>100</v>
      </c>
      <c r="E178" t="s">
        <v>570</v>
      </c>
      <c r="F178" t="s">
        <v>43</v>
      </c>
      <c r="G178" t="s">
        <v>571</v>
      </c>
      <c r="H178">
        <v>2</v>
      </c>
      <c r="I178" s="8">
        <v>200000</v>
      </c>
      <c r="J178" s="8">
        <v>30000</v>
      </c>
      <c r="K178">
        <v>0</v>
      </c>
      <c r="L178" s="8">
        <v>8000</v>
      </c>
      <c r="M178" t="s">
        <v>24</v>
      </c>
      <c r="N178" s="11" t="str">
        <f>TEXT(tblSales[[#This Row],[Date]],"mmmm")</f>
        <v>May</v>
      </c>
      <c r="O178" s="11" t="str">
        <f>"Q"&amp;ROUNDUP(MONTH(tblSales[[#This Row],[Date]])/3,0)</f>
        <v>Q2</v>
      </c>
      <c r="P178" s="11">
        <f>YEAR(tblSales[[#This Row],[Date]])</f>
        <v>2024</v>
      </c>
      <c r="Q178" s="5">
        <f>tblSales[[#This Row],[Profit]]/tblSales[[#This Row],[Revenue]]</f>
        <v>0.15</v>
      </c>
      <c r="R178" s="8">
        <f>tblSales[[#This Row],[Revenue]]*1.1</f>
        <v>220000</v>
      </c>
    </row>
    <row r="179" spans="1:18">
      <c r="A179" t="s">
        <v>572</v>
      </c>
      <c r="B179" s="7">
        <v>45428</v>
      </c>
      <c r="C179" t="s">
        <v>33</v>
      </c>
      <c r="D179" t="s">
        <v>34</v>
      </c>
      <c r="E179" t="s">
        <v>573</v>
      </c>
      <c r="F179" t="s">
        <v>36</v>
      </c>
      <c r="G179" t="s">
        <v>574</v>
      </c>
      <c r="H179">
        <v>40</v>
      </c>
      <c r="I179" s="8">
        <v>100000</v>
      </c>
      <c r="J179" s="8">
        <v>20000</v>
      </c>
      <c r="K179">
        <v>0</v>
      </c>
      <c r="L179" s="8">
        <v>4000</v>
      </c>
      <c r="M179" t="s">
        <v>38</v>
      </c>
      <c r="N179" s="11" t="str">
        <f>TEXT(tblSales[[#This Row],[Date]],"mmmm")</f>
        <v>May</v>
      </c>
      <c r="O179" s="11" t="str">
        <f>"Q"&amp;ROUNDUP(MONTH(tblSales[[#This Row],[Date]])/3,0)</f>
        <v>Q2</v>
      </c>
      <c r="P179" s="11">
        <f>YEAR(tblSales[[#This Row],[Date]])</f>
        <v>2024</v>
      </c>
      <c r="Q179" s="5">
        <f>tblSales[[#This Row],[Profit]]/tblSales[[#This Row],[Revenue]]</f>
        <v>0.2</v>
      </c>
      <c r="R179" s="8">
        <f>tblSales[[#This Row],[Revenue]]*1.1</f>
        <v>110000</v>
      </c>
    </row>
    <row r="180" spans="1:18">
      <c r="A180" t="s">
        <v>575</v>
      </c>
      <c r="B180" s="7">
        <v>45428</v>
      </c>
      <c r="C180" t="s">
        <v>26</v>
      </c>
      <c r="D180" t="s">
        <v>27</v>
      </c>
      <c r="E180" t="s">
        <v>576</v>
      </c>
      <c r="F180" t="s">
        <v>22</v>
      </c>
      <c r="G180" t="s">
        <v>577</v>
      </c>
      <c r="H180">
        <v>5</v>
      </c>
      <c r="I180" s="8">
        <v>300000</v>
      </c>
      <c r="J180" s="8">
        <v>45000</v>
      </c>
      <c r="K180">
        <v>0</v>
      </c>
      <c r="L180" s="8">
        <v>10000</v>
      </c>
      <c r="M180" t="s">
        <v>24</v>
      </c>
      <c r="N180" s="11" t="str">
        <f>TEXT(tblSales[[#This Row],[Date]],"mmmm")</f>
        <v>May</v>
      </c>
      <c r="O180" s="11" t="str">
        <f>"Q"&amp;ROUNDUP(MONTH(tblSales[[#This Row],[Date]])/3,0)</f>
        <v>Q2</v>
      </c>
      <c r="P180" s="11">
        <f>YEAR(tblSales[[#This Row],[Date]])</f>
        <v>2024</v>
      </c>
      <c r="Q180" s="5">
        <f>tblSales[[#This Row],[Profit]]/tblSales[[#This Row],[Revenue]]</f>
        <v>0.15</v>
      </c>
      <c r="R180" s="8">
        <f>tblSales[[#This Row],[Revenue]]*1.1</f>
        <v>330000</v>
      </c>
    </row>
    <row r="181" spans="1:18">
      <c r="A181" t="s">
        <v>578</v>
      </c>
      <c r="B181" s="7">
        <v>45429</v>
      </c>
      <c r="C181" t="s">
        <v>40</v>
      </c>
      <c r="D181" t="s">
        <v>93</v>
      </c>
      <c r="E181" t="s">
        <v>579</v>
      </c>
      <c r="F181" t="s">
        <v>29</v>
      </c>
      <c r="G181" t="s">
        <v>580</v>
      </c>
      <c r="H181">
        <v>25</v>
      </c>
      <c r="I181" s="8">
        <v>250000</v>
      </c>
      <c r="J181" s="8">
        <v>50000</v>
      </c>
      <c r="K181">
        <v>0</v>
      </c>
      <c r="L181" s="8">
        <v>8000</v>
      </c>
      <c r="M181" t="s">
        <v>31</v>
      </c>
      <c r="N181" s="11" t="str">
        <f>TEXT(tblSales[[#This Row],[Date]],"mmmm")</f>
        <v>May</v>
      </c>
      <c r="O181" s="11" t="str">
        <f>"Q"&amp;ROUNDUP(MONTH(tblSales[[#This Row],[Date]])/3,0)</f>
        <v>Q2</v>
      </c>
      <c r="P181" s="11">
        <f>YEAR(tblSales[[#This Row],[Date]])</f>
        <v>2024</v>
      </c>
      <c r="Q181" s="5">
        <f>tblSales[[#This Row],[Profit]]/tblSales[[#This Row],[Revenue]]</f>
        <v>0.2</v>
      </c>
      <c r="R181" s="8">
        <f>tblSales[[#This Row],[Revenue]]*1.1</f>
        <v>275000</v>
      </c>
    </row>
    <row r="182" spans="1:18">
      <c r="A182" t="s">
        <v>581</v>
      </c>
      <c r="B182" s="7">
        <v>45430</v>
      </c>
      <c r="C182" t="s">
        <v>19</v>
      </c>
      <c r="D182" t="s">
        <v>20</v>
      </c>
      <c r="E182" t="s">
        <v>582</v>
      </c>
      <c r="F182" t="s">
        <v>43</v>
      </c>
      <c r="G182" t="s">
        <v>583</v>
      </c>
      <c r="H182">
        <v>35</v>
      </c>
      <c r="I182" s="8">
        <v>175000</v>
      </c>
      <c r="J182" s="8">
        <v>26250</v>
      </c>
      <c r="K182">
        <v>0</v>
      </c>
      <c r="L182" s="8">
        <v>6000</v>
      </c>
      <c r="M182" t="s">
        <v>24</v>
      </c>
      <c r="N182" s="11" t="str">
        <f>TEXT(tblSales[[#This Row],[Date]],"mmmm")</f>
        <v>May</v>
      </c>
      <c r="O182" s="11" t="str">
        <f>"Q"&amp;ROUNDUP(MONTH(tblSales[[#This Row],[Date]])/3,0)</f>
        <v>Q2</v>
      </c>
      <c r="P182" s="11">
        <f>YEAR(tblSales[[#This Row],[Date]])</f>
        <v>2024</v>
      </c>
      <c r="Q182" s="5">
        <f>tblSales[[#This Row],[Profit]]/tblSales[[#This Row],[Revenue]]</f>
        <v>0.15</v>
      </c>
      <c r="R182" s="8">
        <f>tblSales[[#This Row],[Revenue]]*1.1</f>
        <v>192500</v>
      </c>
    </row>
    <row r="183" spans="1:18">
      <c r="A183" t="s">
        <v>584</v>
      </c>
      <c r="B183" s="7">
        <v>45430</v>
      </c>
      <c r="C183" t="s">
        <v>33</v>
      </c>
      <c r="D183" t="s">
        <v>54</v>
      </c>
      <c r="E183" t="s">
        <v>585</v>
      </c>
      <c r="F183" t="s">
        <v>36</v>
      </c>
      <c r="G183" t="s">
        <v>586</v>
      </c>
      <c r="H183">
        <v>55</v>
      </c>
      <c r="I183" s="8">
        <v>357500</v>
      </c>
      <c r="J183" s="8">
        <v>71500</v>
      </c>
      <c r="K183">
        <v>0</v>
      </c>
      <c r="L183" s="8">
        <v>10000</v>
      </c>
      <c r="M183" t="s">
        <v>38</v>
      </c>
      <c r="N183" s="11" t="str">
        <f>TEXT(tblSales[[#This Row],[Date]],"mmmm")</f>
        <v>May</v>
      </c>
      <c r="O183" s="11" t="str">
        <f>"Q"&amp;ROUNDUP(MONTH(tblSales[[#This Row],[Date]])/3,0)</f>
        <v>Q2</v>
      </c>
      <c r="P183" s="11">
        <f>YEAR(tblSales[[#This Row],[Date]])</f>
        <v>2024</v>
      </c>
      <c r="Q183" s="5">
        <f>tblSales[[#This Row],[Profit]]/tblSales[[#This Row],[Revenue]]</f>
        <v>0.2</v>
      </c>
      <c r="R183" s="8">
        <f>tblSales[[#This Row],[Revenue]]*1.1</f>
        <v>393250</v>
      </c>
    </row>
    <row r="184" spans="1:18">
      <c r="A184" t="s">
        <v>587</v>
      </c>
      <c r="B184" s="7">
        <v>45431</v>
      </c>
      <c r="C184" t="s">
        <v>26</v>
      </c>
      <c r="D184" t="s">
        <v>46</v>
      </c>
      <c r="E184" t="s">
        <v>588</v>
      </c>
      <c r="F184" t="s">
        <v>22</v>
      </c>
      <c r="G184" t="s">
        <v>589</v>
      </c>
      <c r="H184">
        <v>8</v>
      </c>
      <c r="I184" s="8">
        <v>160000</v>
      </c>
      <c r="J184" s="8">
        <v>32000</v>
      </c>
      <c r="K184">
        <v>0</v>
      </c>
      <c r="L184" s="8">
        <v>5000</v>
      </c>
      <c r="M184" t="s">
        <v>24</v>
      </c>
      <c r="N184" s="11" t="str">
        <f>TEXT(tblSales[[#This Row],[Date]],"mmmm")</f>
        <v>May</v>
      </c>
      <c r="O184" s="11" t="str">
        <f>"Q"&amp;ROUNDUP(MONTH(tblSales[[#This Row],[Date]])/3,0)</f>
        <v>Q2</v>
      </c>
      <c r="P184" s="11">
        <f>YEAR(tblSales[[#This Row],[Date]])</f>
        <v>2024</v>
      </c>
      <c r="Q184" s="5">
        <f>tblSales[[#This Row],[Profit]]/tblSales[[#This Row],[Revenue]]</f>
        <v>0.2</v>
      </c>
      <c r="R184" s="8">
        <f>tblSales[[#This Row],[Revenue]]*1.1</f>
        <v>176000</v>
      </c>
    </row>
    <row r="185" spans="1:18">
      <c r="A185" t="s">
        <v>590</v>
      </c>
      <c r="B185" s="7">
        <v>45432</v>
      </c>
      <c r="C185" t="s">
        <v>40</v>
      </c>
      <c r="D185" t="s">
        <v>61</v>
      </c>
      <c r="E185" t="s">
        <v>591</v>
      </c>
      <c r="F185" t="s">
        <v>29</v>
      </c>
      <c r="G185" t="s">
        <v>592</v>
      </c>
      <c r="H185">
        <v>12</v>
      </c>
      <c r="I185" s="8">
        <v>240000</v>
      </c>
      <c r="J185" s="8">
        <v>48000</v>
      </c>
      <c r="K185">
        <v>0</v>
      </c>
      <c r="L185" s="8">
        <v>8000</v>
      </c>
      <c r="M185" t="s">
        <v>31</v>
      </c>
      <c r="N185" s="11" t="str">
        <f>TEXT(tblSales[[#This Row],[Date]],"mmmm")</f>
        <v>May</v>
      </c>
      <c r="O185" s="11" t="str">
        <f>"Q"&amp;ROUNDUP(MONTH(tblSales[[#This Row],[Date]])/3,0)</f>
        <v>Q2</v>
      </c>
      <c r="P185" s="11">
        <f>YEAR(tblSales[[#This Row],[Date]])</f>
        <v>2024</v>
      </c>
      <c r="Q185" s="5">
        <f>tblSales[[#This Row],[Profit]]/tblSales[[#This Row],[Revenue]]</f>
        <v>0.2</v>
      </c>
      <c r="R185" s="8">
        <f>tblSales[[#This Row],[Revenue]]*1.1</f>
        <v>264000</v>
      </c>
    </row>
    <row r="186" spans="1:18">
      <c r="A186" t="s">
        <v>593</v>
      </c>
      <c r="B186" s="7">
        <v>45432</v>
      </c>
      <c r="C186" t="s">
        <v>19</v>
      </c>
      <c r="D186" t="s">
        <v>50</v>
      </c>
      <c r="E186" t="s">
        <v>594</v>
      </c>
      <c r="F186" t="s">
        <v>43</v>
      </c>
      <c r="G186" t="s">
        <v>595</v>
      </c>
      <c r="H186">
        <v>4</v>
      </c>
      <c r="I186" s="8">
        <v>140000</v>
      </c>
      <c r="J186" s="8">
        <v>21000</v>
      </c>
      <c r="K186">
        <v>0</v>
      </c>
      <c r="L186" s="8">
        <v>6000</v>
      </c>
      <c r="M186" t="s">
        <v>24</v>
      </c>
      <c r="N186" s="11" t="str">
        <f>TEXT(tblSales[[#This Row],[Date]],"mmmm")</f>
        <v>May</v>
      </c>
      <c r="O186" s="11" t="str">
        <f>"Q"&amp;ROUNDUP(MONTH(tblSales[[#This Row],[Date]])/3,0)</f>
        <v>Q2</v>
      </c>
      <c r="P186" s="11">
        <f>YEAR(tblSales[[#This Row],[Date]])</f>
        <v>2024</v>
      </c>
      <c r="Q186" s="5">
        <f>tblSales[[#This Row],[Profit]]/tblSales[[#This Row],[Revenue]]</f>
        <v>0.15</v>
      </c>
      <c r="R186" s="8">
        <f>tblSales[[#This Row],[Revenue]]*1.1</f>
        <v>154000</v>
      </c>
    </row>
    <row r="187" spans="1:18">
      <c r="A187" t="s">
        <v>596</v>
      </c>
      <c r="B187" s="7">
        <v>45433</v>
      </c>
      <c r="C187" t="s">
        <v>33</v>
      </c>
      <c r="D187" t="s">
        <v>34</v>
      </c>
      <c r="E187" t="s">
        <v>597</v>
      </c>
      <c r="F187" t="s">
        <v>36</v>
      </c>
      <c r="G187" t="s">
        <v>598</v>
      </c>
      <c r="H187">
        <v>60</v>
      </c>
      <c r="I187" s="8">
        <v>150000</v>
      </c>
      <c r="J187" s="8">
        <v>30000</v>
      </c>
      <c r="K187">
        <v>0</v>
      </c>
      <c r="L187" s="8">
        <v>5000</v>
      </c>
      <c r="M187" t="s">
        <v>38</v>
      </c>
      <c r="N187" s="11" t="str">
        <f>TEXT(tblSales[[#This Row],[Date]],"mmmm")</f>
        <v>May</v>
      </c>
      <c r="O187" s="11" t="str">
        <f>"Q"&amp;ROUNDUP(MONTH(tblSales[[#This Row],[Date]])/3,0)</f>
        <v>Q2</v>
      </c>
      <c r="P187" s="11">
        <f>YEAR(tblSales[[#This Row],[Date]])</f>
        <v>2024</v>
      </c>
      <c r="Q187" s="5">
        <f>tblSales[[#This Row],[Profit]]/tblSales[[#This Row],[Revenue]]</f>
        <v>0.2</v>
      </c>
      <c r="R187" s="8">
        <f>tblSales[[#This Row],[Revenue]]*1.1</f>
        <v>165000</v>
      </c>
    </row>
    <row r="188" spans="1:18">
      <c r="A188" t="s">
        <v>599</v>
      </c>
      <c r="B188" s="7">
        <v>45434</v>
      </c>
      <c r="C188" t="s">
        <v>26</v>
      </c>
      <c r="D188" t="s">
        <v>27</v>
      </c>
      <c r="E188" t="s">
        <v>600</v>
      </c>
      <c r="F188" t="s">
        <v>22</v>
      </c>
      <c r="G188" t="s">
        <v>601</v>
      </c>
      <c r="H188">
        <v>45</v>
      </c>
      <c r="I188" s="8">
        <v>225000</v>
      </c>
      <c r="J188" s="8">
        <v>45000</v>
      </c>
      <c r="K188">
        <v>0</v>
      </c>
      <c r="L188" s="8">
        <v>8000</v>
      </c>
      <c r="M188" t="s">
        <v>24</v>
      </c>
      <c r="N188" s="11" t="str">
        <f>TEXT(tblSales[[#This Row],[Date]],"mmmm")</f>
        <v>May</v>
      </c>
      <c r="O188" s="11" t="str">
        <f>"Q"&amp;ROUNDUP(MONTH(tblSales[[#This Row],[Date]])/3,0)</f>
        <v>Q2</v>
      </c>
      <c r="P188" s="11">
        <f>YEAR(tblSales[[#This Row],[Date]])</f>
        <v>2024</v>
      </c>
      <c r="Q188" s="5">
        <f>tblSales[[#This Row],[Profit]]/tblSales[[#This Row],[Revenue]]</f>
        <v>0.2</v>
      </c>
      <c r="R188" s="8">
        <f>tblSales[[#This Row],[Revenue]]*1.1</f>
        <v>247500</v>
      </c>
    </row>
    <row r="189" spans="1:18">
      <c r="A189" t="s">
        <v>602</v>
      </c>
      <c r="B189" s="7">
        <v>45434</v>
      </c>
      <c r="C189" t="s">
        <v>40</v>
      </c>
      <c r="D189" t="s">
        <v>41</v>
      </c>
      <c r="E189" t="s">
        <v>603</v>
      </c>
      <c r="F189" t="s">
        <v>29</v>
      </c>
      <c r="G189" t="s">
        <v>604</v>
      </c>
      <c r="H189">
        <v>30</v>
      </c>
      <c r="I189" s="8">
        <v>375000</v>
      </c>
      <c r="J189" s="8">
        <v>75000</v>
      </c>
      <c r="K189">
        <v>0</v>
      </c>
      <c r="L189" s="8">
        <v>10000</v>
      </c>
      <c r="M189" t="s">
        <v>31</v>
      </c>
      <c r="N189" s="11" t="str">
        <f>TEXT(tblSales[[#This Row],[Date]],"mmmm")</f>
        <v>May</v>
      </c>
      <c r="O189" s="11" t="str">
        <f>"Q"&amp;ROUNDUP(MONTH(tblSales[[#This Row],[Date]])/3,0)</f>
        <v>Q2</v>
      </c>
      <c r="P189" s="11">
        <f>YEAR(tblSales[[#This Row],[Date]])</f>
        <v>2024</v>
      </c>
      <c r="Q189" s="5">
        <f>tblSales[[#This Row],[Profit]]/tblSales[[#This Row],[Revenue]]</f>
        <v>0.2</v>
      </c>
      <c r="R189" s="8">
        <f>tblSales[[#This Row],[Revenue]]*1.1</f>
        <v>412500</v>
      </c>
    </row>
    <row r="190" spans="1:18">
      <c r="A190" t="s">
        <v>605</v>
      </c>
      <c r="B190" s="7">
        <v>45435</v>
      </c>
      <c r="C190" t="s">
        <v>19</v>
      </c>
      <c r="D190" t="s">
        <v>20</v>
      </c>
      <c r="E190" t="s">
        <v>606</v>
      </c>
      <c r="F190" t="s">
        <v>43</v>
      </c>
      <c r="G190" t="s">
        <v>607</v>
      </c>
      <c r="H190">
        <v>7</v>
      </c>
      <c r="I190" s="8">
        <v>245000</v>
      </c>
      <c r="J190" s="8">
        <v>36750</v>
      </c>
      <c r="K190">
        <v>0</v>
      </c>
      <c r="L190" s="8">
        <v>10000</v>
      </c>
      <c r="M190" t="s">
        <v>24</v>
      </c>
      <c r="N190" s="11" t="str">
        <f>TEXT(tblSales[[#This Row],[Date]],"mmmm")</f>
        <v>May</v>
      </c>
      <c r="O190" s="11" t="str">
        <f>"Q"&amp;ROUNDUP(MONTH(tblSales[[#This Row],[Date]])/3,0)</f>
        <v>Q2</v>
      </c>
      <c r="P190" s="11">
        <f>YEAR(tblSales[[#This Row],[Date]])</f>
        <v>2024</v>
      </c>
      <c r="Q190" s="5">
        <f>tblSales[[#This Row],[Profit]]/tblSales[[#This Row],[Revenue]]</f>
        <v>0.15</v>
      </c>
      <c r="R190" s="8">
        <f>tblSales[[#This Row],[Revenue]]*1.1</f>
        <v>269500</v>
      </c>
    </row>
    <row r="191" spans="1:18">
      <c r="A191" t="s">
        <v>608</v>
      </c>
      <c r="B191" s="7">
        <v>45436</v>
      </c>
      <c r="C191" t="s">
        <v>33</v>
      </c>
      <c r="D191" t="s">
        <v>54</v>
      </c>
      <c r="E191" t="s">
        <v>609</v>
      </c>
      <c r="F191" t="s">
        <v>36</v>
      </c>
      <c r="G191" t="s">
        <v>610</v>
      </c>
      <c r="H191">
        <v>85</v>
      </c>
      <c r="I191" s="8">
        <v>212500</v>
      </c>
      <c r="J191" s="8">
        <v>42500</v>
      </c>
      <c r="K191">
        <v>0</v>
      </c>
      <c r="L191" s="8">
        <v>8000</v>
      </c>
      <c r="M191" t="s">
        <v>38</v>
      </c>
      <c r="N191" s="11" t="str">
        <f>TEXT(tblSales[[#This Row],[Date]],"mmmm")</f>
        <v>May</v>
      </c>
      <c r="O191" s="11" t="str">
        <f>"Q"&amp;ROUNDUP(MONTH(tblSales[[#This Row],[Date]])/3,0)</f>
        <v>Q2</v>
      </c>
      <c r="P191" s="11">
        <f>YEAR(tblSales[[#This Row],[Date]])</f>
        <v>2024</v>
      </c>
      <c r="Q191" s="5">
        <f>tblSales[[#This Row],[Profit]]/tblSales[[#This Row],[Revenue]]</f>
        <v>0.2</v>
      </c>
      <c r="R191" s="8">
        <f>tblSales[[#This Row],[Revenue]]*1.1</f>
        <v>233750</v>
      </c>
    </row>
    <row r="192" spans="1:18">
      <c r="A192" t="s">
        <v>611</v>
      </c>
      <c r="B192" s="7">
        <v>45436</v>
      </c>
      <c r="C192" t="s">
        <v>26</v>
      </c>
      <c r="D192" t="s">
        <v>71</v>
      </c>
      <c r="E192" t="s">
        <v>612</v>
      </c>
      <c r="F192" t="s">
        <v>22</v>
      </c>
      <c r="G192" t="s">
        <v>613</v>
      </c>
      <c r="H192">
        <v>20</v>
      </c>
      <c r="I192" s="8">
        <v>200000</v>
      </c>
      <c r="J192" s="8">
        <v>40000</v>
      </c>
      <c r="K192">
        <v>0</v>
      </c>
      <c r="L192" s="8">
        <v>6000</v>
      </c>
      <c r="M192" t="s">
        <v>24</v>
      </c>
      <c r="N192" s="11" t="str">
        <f>TEXT(tblSales[[#This Row],[Date]],"mmmm")</f>
        <v>May</v>
      </c>
      <c r="O192" s="11" t="str">
        <f>"Q"&amp;ROUNDUP(MONTH(tblSales[[#This Row],[Date]])/3,0)</f>
        <v>Q2</v>
      </c>
      <c r="P192" s="11">
        <f>YEAR(tblSales[[#This Row],[Date]])</f>
        <v>2024</v>
      </c>
      <c r="Q192" s="5">
        <f>tblSales[[#This Row],[Profit]]/tblSales[[#This Row],[Revenue]]</f>
        <v>0.2</v>
      </c>
      <c r="R192" s="8">
        <f>tblSales[[#This Row],[Revenue]]*1.1</f>
        <v>220000</v>
      </c>
    </row>
    <row r="193" spans="1:18">
      <c r="A193" t="s">
        <v>614</v>
      </c>
      <c r="B193" s="7">
        <v>45437</v>
      </c>
      <c r="C193" t="s">
        <v>40</v>
      </c>
      <c r="D193" t="s">
        <v>126</v>
      </c>
      <c r="E193" t="s">
        <v>615</v>
      </c>
      <c r="F193" t="s">
        <v>29</v>
      </c>
      <c r="G193" t="s">
        <v>616</v>
      </c>
      <c r="H193">
        <v>18</v>
      </c>
      <c r="I193" s="8">
        <v>360000</v>
      </c>
      <c r="J193" s="8">
        <v>72000</v>
      </c>
      <c r="K193">
        <v>0</v>
      </c>
      <c r="L193" s="8">
        <v>12000</v>
      </c>
      <c r="M193" t="s">
        <v>31</v>
      </c>
      <c r="N193" s="11" t="str">
        <f>TEXT(tblSales[[#This Row],[Date]],"mmmm")</f>
        <v>May</v>
      </c>
      <c r="O193" s="11" t="str">
        <f>"Q"&amp;ROUNDUP(MONTH(tblSales[[#This Row],[Date]])/3,0)</f>
        <v>Q2</v>
      </c>
      <c r="P193" s="11">
        <f>YEAR(tblSales[[#This Row],[Date]])</f>
        <v>2024</v>
      </c>
      <c r="Q193" s="5">
        <f>tblSales[[#This Row],[Profit]]/tblSales[[#This Row],[Revenue]]</f>
        <v>0.2</v>
      </c>
      <c r="R193" s="8">
        <f>tblSales[[#This Row],[Revenue]]*1.1</f>
        <v>396000</v>
      </c>
    </row>
    <row r="194" spans="1:18">
      <c r="A194" t="s">
        <v>617</v>
      </c>
      <c r="B194" s="7">
        <v>45438</v>
      </c>
      <c r="C194" t="s">
        <v>19</v>
      </c>
      <c r="D194" t="s">
        <v>113</v>
      </c>
      <c r="E194" t="s">
        <v>618</v>
      </c>
      <c r="F194" t="s">
        <v>43</v>
      </c>
      <c r="G194" t="s">
        <v>619</v>
      </c>
      <c r="H194">
        <v>15</v>
      </c>
      <c r="I194" s="8">
        <v>225000</v>
      </c>
      <c r="J194" s="8">
        <v>33750</v>
      </c>
      <c r="K194">
        <v>0</v>
      </c>
      <c r="L194" s="8">
        <v>8000</v>
      </c>
      <c r="M194" t="s">
        <v>24</v>
      </c>
      <c r="N194" s="11" t="str">
        <f>TEXT(tblSales[[#This Row],[Date]],"mmmm")</f>
        <v>May</v>
      </c>
      <c r="O194" s="11" t="str">
        <f>"Q"&amp;ROUNDUP(MONTH(tblSales[[#This Row],[Date]])/3,0)</f>
        <v>Q2</v>
      </c>
      <c r="P194" s="11">
        <f>YEAR(tblSales[[#This Row],[Date]])</f>
        <v>2024</v>
      </c>
      <c r="Q194" s="5">
        <f>tblSales[[#This Row],[Profit]]/tblSales[[#This Row],[Revenue]]</f>
        <v>0.15</v>
      </c>
      <c r="R194" s="8">
        <f>tblSales[[#This Row],[Revenue]]*1.1</f>
        <v>247500</v>
      </c>
    </row>
    <row r="195" spans="1:18">
      <c r="A195" t="s">
        <v>620</v>
      </c>
      <c r="B195" s="7">
        <v>45438</v>
      </c>
      <c r="C195" t="s">
        <v>33</v>
      </c>
      <c r="D195" t="s">
        <v>34</v>
      </c>
      <c r="E195" t="s">
        <v>621</v>
      </c>
      <c r="F195" t="s">
        <v>36</v>
      </c>
      <c r="G195" t="s">
        <v>622</v>
      </c>
      <c r="H195">
        <v>30</v>
      </c>
      <c r="I195" s="8">
        <v>120000</v>
      </c>
      <c r="J195" s="8">
        <v>24000</v>
      </c>
      <c r="K195">
        <v>0</v>
      </c>
      <c r="L195" s="8">
        <v>5000</v>
      </c>
      <c r="M195" t="s">
        <v>38</v>
      </c>
      <c r="N195" s="11" t="str">
        <f>TEXT(tblSales[[#This Row],[Date]],"mmmm")</f>
        <v>May</v>
      </c>
      <c r="O195" s="11" t="str">
        <f>"Q"&amp;ROUNDUP(MONTH(tblSales[[#This Row],[Date]])/3,0)</f>
        <v>Q2</v>
      </c>
      <c r="P195" s="11">
        <f>YEAR(tblSales[[#This Row],[Date]])</f>
        <v>2024</v>
      </c>
      <c r="Q195" s="5">
        <f>tblSales[[#This Row],[Profit]]/tblSales[[#This Row],[Revenue]]</f>
        <v>0.2</v>
      </c>
      <c r="R195" s="8">
        <f>tblSales[[#This Row],[Revenue]]*1.1</f>
        <v>132000</v>
      </c>
    </row>
    <row r="196" spans="1:18">
      <c r="A196" t="s">
        <v>623</v>
      </c>
      <c r="B196" s="7">
        <v>45439</v>
      </c>
      <c r="C196" t="s">
        <v>26</v>
      </c>
      <c r="D196" t="s">
        <v>27</v>
      </c>
      <c r="E196" t="s">
        <v>624</v>
      </c>
      <c r="F196" t="s">
        <v>22</v>
      </c>
      <c r="G196" t="s">
        <v>625</v>
      </c>
      <c r="H196">
        <v>35</v>
      </c>
      <c r="I196" s="8">
        <v>140000</v>
      </c>
      <c r="J196" s="8">
        <v>28000</v>
      </c>
      <c r="K196">
        <v>0</v>
      </c>
      <c r="L196" s="8">
        <v>4000</v>
      </c>
      <c r="M196" t="s">
        <v>24</v>
      </c>
      <c r="N196" s="11" t="str">
        <f>TEXT(tblSales[[#This Row],[Date]],"mmmm")</f>
        <v>May</v>
      </c>
      <c r="O196" s="11" t="str">
        <f>"Q"&amp;ROUNDUP(MONTH(tblSales[[#This Row],[Date]])/3,0)</f>
        <v>Q2</v>
      </c>
      <c r="P196" s="11">
        <f>YEAR(tblSales[[#This Row],[Date]])</f>
        <v>2024</v>
      </c>
      <c r="Q196" s="5">
        <f>tblSales[[#This Row],[Profit]]/tblSales[[#This Row],[Revenue]]</f>
        <v>0.2</v>
      </c>
      <c r="R196" s="8">
        <f>tblSales[[#This Row],[Revenue]]*1.1</f>
        <v>154000</v>
      </c>
    </row>
    <row r="197" spans="1:18">
      <c r="A197" t="s">
        <v>626</v>
      </c>
      <c r="B197" s="7">
        <v>45440</v>
      </c>
      <c r="C197" t="s">
        <v>40</v>
      </c>
      <c r="D197" t="s">
        <v>41</v>
      </c>
      <c r="E197" t="s">
        <v>627</v>
      </c>
      <c r="F197" t="s">
        <v>29</v>
      </c>
      <c r="G197" t="s">
        <v>628</v>
      </c>
      <c r="H197">
        <v>11</v>
      </c>
      <c r="I197" s="8">
        <v>357500</v>
      </c>
      <c r="J197" s="8">
        <v>71500</v>
      </c>
      <c r="K197">
        <v>0</v>
      </c>
      <c r="L197" s="8">
        <v>10000</v>
      </c>
      <c r="M197" t="s">
        <v>31</v>
      </c>
      <c r="N197" s="11" t="str">
        <f>TEXT(tblSales[[#This Row],[Date]],"mmmm")</f>
        <v>May</v>
      </c>
      <c r="O197" s="11" t="str">
        <f>"Q"&amp;ROUNDUP(MONTH(tblSales[[#This Row],[Date]])/3,0)</f>
        <v>Q2</v>
      </c>
      <c r="P197" s="11">
        <f>YEAR(tblSales[[#This Row],[Date]])</f>
        <v>2024</v>
      </c>
      <c r="Q197" s="5">
        <f>tblSales[[#This Row],[Profit]]/tblSales[[#This Row],[Revenue]]</f>
        <v>0.2</v>
      </c>
      <c r="R197" s="8">
        <f>tblSales[[#This Row],[Revenue]]*1.1</f>
        <v>393250</v>
      </c>
    </row>
    <row r="198" spans="1:18">
      <c r="A198" t="s">
        <v>629</v>
      </c>
      <c r="B198" s="7">
        <v>45440</v>
      </c>
      <c r="C198" t="s">
        <v>19</v>
      </c>
      <c r="D198" t="s">
        <v>20</v>
      </c>
      <c r="E198" t="s">
        <v>630</v>
      </c>
      <c r="F198" t="s">
        <v>43</v>
      </c>
      <c r="G198" t="s">
        <v>631</v>
      </c>
      <c r="H198">
        <v>10</v>
      </c>
      <c r="I198" s="8">
        <v>75000</v>
      </c>
      <c r="J198" s="8">
        <v>11250</v>
      </c>
      <c r="K198">
        <v>0</v>
      </c>
      <c r="L198" s="8">
        <v>3000</v>
      </c>
      <c r="M198" t="s">
        <v>24</v>
      </c>
      <c r="N198" s="11" t="str">
        <f>TEXT(tblSales[[#This Row],[Date]],"mmmm")</f>
        <v>May</v>
      </c>
      <c r="O198" s="11" t="str">
        <f>"Q"&amp;ROUNDUP(MONTH(tblSales[[#This Row],[Date]])/3,0)</f>
        <v>Q2</v>
      </c>
      <c r="P198" s="11">
        <f>YEAR(tblSales[[#This Row],[Date]])</f>
        <v>2024</v>
      </c>
      <c r="Q198" s="5">
        <f>tblSales[[#This Row],[Profit]]/tblSales[[#This Row],[Revenue]]</f>
        <v>0.15</v>
      </c>
      <c r="R198" s="8">
        <f>tblSales[[#This Row],[Revenue]]*1.1</f>
        <v>82500</v>
      </c>
    </row>
    <row r="199" spans="1:18">
      <c r="A199" t="s">
        <v>632</v>
      </c>
      <c r="B199" s="7">
        <v>45441</v>
      </c>
      <c r="C199" t="s">
        <v>33</v>
      </c>
      <c r="D199" t="s">
        <v>54</v>
      </c>
      <c r="E199" t="s">
        <v>633</v>
      </c>
      <c r="F199" t="s">
        <v>36</v>
      </c>
      <c r="G199" t="s">
        <v>634</v>
      </c>
      <c r="H199">
        <v>65</v>
      </c>
      <c r="I199" s="8">
        <v>162500</v>
      </c>
      <c r="J199" s="8">
        <v>32500</v>
      </c>
      <c r="K199">
        <v>0</v>
      </c>
      <c r="L199" s="8">
        <v>6000</v>
      </c>
      <c r="M199" t="s">
        <v>38</v>
      </c>
      <c r="N199" s="11" t="str">
        <f>TEXT(tblSales[[#This Row],[Date]],"mmmm")</f>
        <v>May</v>
      </c>
      <c r="O199" s="11" t="str">
        <f>"Q"&amp;ROUNDUP(MONTH(tblSales[[#This Row],[Date]])/3,0)</f>
        <v>Q2</v>
      </c>
      <c r="P199" s="11">
        <f>YEAR(tblSales[[#This Row],[Date]])</f>
        <v>2024</v>
      </c>
      <c r="Q199" s="5">
        <f>tblSales[[#This Row],[Profit]]/tblSales[[#This Row],[Revenue]]</f>
        <v>0.2</v>
      </c>
      <c r="R199" s="8">
        <f>tblSales[[#This Row],[Revenue]]*1.1</f>
        <v>178750</v>
      </c>
    </row>
    <row r="200" spans="1:18">
      <c r="A200" t="s">
        <v>635</v>
      </c>
      <c r="B200" s="7">
        <v>45442</v>
      </c>
      <c r="C200" t="s">
        <v>26</v>
      </c>
      <c r="D200" t="s">
        <v>46</v>
      </c>
      <c r="E200" t="s">
        <v>636</v>
      </c>
      <c r="F200" t="s">
        <v>22</v>
      </c>
      <c r="G200" t="s">
        <v>637</v>
      </c>
      <c r="H200">
        <v>16</v>
      </c>
      <c r="I200" s="8">
        <v>160000</v>
      </c>
      <c r="J200" s="8">
        <v>32000</v>
      </c>
      <c r="K200">
        <v>0</v>
      </c>
      <c r="L200" s="8">
        <v>5000</v>
      </c>
      <c r="M200" t="s">
        <v>24</v>
      </c>
      <c r="N200" s="11" t="str">
        <f>TEXT(tblSales[[#This Row],[Date]],"mmmm")</f>
        <v>May</v>
      </c>
      <c r="O200" s="11" t="str">
        <f>"Q"&amp;ROUNDUP(MONTH(tblSales[[#This Row],[Date]])/3,0)</f>
        <v>Q2</v>
      </c>
      <c r="P200" s="11">
        <f>YEAR(tblSales[[#This Row],[Date]])</f>
        <v>2024</v>
      </c>
      <c r="Q200" s="5">
        <f>tblSales[[#This Row],[Profit]]/tblSales[[#This Row],[Revenue]]</f>
        <v>0.2</v>
      </c>
      <c r="R200" s="8">
        <f>tblSales[[#This Row],[Revenue]]*1.1</f>
        <v>176000</v>
      </c>
    </row>
    <row r="201" spans="1:18">
      <c r="A201" t="s">
        <v>638</v>
      </c>
      <c r="B201" s="7">
        <v>45442</v>
      </c>
      <c r="C201" t="s">
        <v>40</v>
      </c>
      <c r="D201" t="s">
        <v>93</v>
      </c>
      <c r="E201" t="s">
        <v>639</v>
      </c>
      <c r="F201" t="s">
        <v>29</v>
      </c>
      <c r="G201" t="s">
        <v>640</v>
      </c>
      <c r="H201">
        <v>28</v>
      </c>
      <c r="I201" s="8">
        <v>420000</v>
      </c>
      <c r="J201" s="8">
        <v>84000</v>
      </c>
      <c r="K201">
        <v>0</v>
      </c>
      <c r="L201" s="8">
        <v>12000</v>
      </c>
      <c r="M201" t="s">
        <v>31</v>
      </c>
      <c r="N201" s="11" t="str">
        <f>TEXT(tblSales[[#This Row],[Date]],"mmmm")</f>
        <v>May</v>
      </c>
      <c r="O201" s="11" t="str">
        <f>"Q"&amp;ROUNDUP(MONTH(tblSales[[#This Row],[Date]])/3,0)</f>
        <v>Q2</v>
      </c>
      <c r="P201" s="11">
        <f>YEAR(tblSales[[#This Row],[Date]])</f>
        <v>2024</v>
      </c>
      <c r="Q201" s="5">
        <f>tblSales[[#This Row],[Profit]]/tblSales[[#This Row],[Revenue]]</f>
        <v>0.2</v>
      </c>
      <c r="R201" s="8">
        <f>tblSales[[#This Row],[Revenue]]*1.1</f>
        <v>462000</v>
      </c>
    </row>
    <row r="202" spans="1:18">
      <c r="A202" t="s">
        <v>641</v>
      </c>
      <c r="B202" s="7">
        <v>45444</v>
      </c>
      <c r="C202" t="s">
        <v>19</v>
      </c>
      <c r="D202" t="s">
        <v>20</v>
      </c>
      <c r="E202" t="s">
        <v>21</v>
      </c>
      <c r="F202" t="s">
        <v>22</v>
      </c>
      <c r="G202" t="s">
        <v>642</v>
      </c>
      <c r="H202">
        <v>50</v>
      </c>
      <c r="I202" s="8">
        <v>125000000</v>
      </c>
      <c r="J202" s="8">
        <v>18750000</v>
      </c>
      <c r="K202">
        <v>5</v>
      </c>
      <c r="L202" s="8">
        <v>500000</v>
      </c>
      <c r="M202" t="s">
        <v>24</v>
      </c>
      <c r="N202" s="11" t="str">
        <f>TEXT(tblSales[[#This Row],[Date]],"mmmm")</f>
        <v>June</v>
      </c>
      <c r="O202" s="11" t="str">
        <f>"Q"&amp;ROUNDUP(MONTH(tblSales[[#This Row],[Date]])/3,0)</f>
        <v>Q2</v>
      </c>
      <c r="P202" s="11">
        <f>YEAR(tblSales[[#This Row],[Date]])</f>
        <v>2024</v>
      </c>
      <c r="Q202" s="5">
        <f>tblSales[[#This Row],[Profit]]/tblSales[[#This Row],[Revenue]]</f>
        <v>0.15</v>
      </c>
      <c r="R202" s="8">
        <f>tblSales[[#This Row],[Revenue]]*1.1</f>
        <v>137500000</v>
      </c>
    </row>
    <row r="203" spans="1:18">
      <c r="A203" t="s">
        <v>643</v>
      </c>
      <c r="B203" s="7">
        <v>45444</v>
      </c>
      <c r="C203" t="s">
        <v>26</v>
      </c>
      <c r="D203" t="s">
        <v>27</v>
      </c>
      <c r="E203" t="s">
        <v>28</v>
      </c>
      <c r="F203" t="s">
        <v>29</v>
      </c>
      <c r="G203" t="s">
        <v>644</v>
      </c>
      <c r="H203">
        <v>200</v>
      </c>
      <c r="I203" s="8">
        <v>2000000</v>
      </c>
      <c r="J203" s="8">
        <v>400000</v>
      </c>
      <c r="K203">
        <v>0</v>
      </c>
      <c r="L203" s="8">
        <v>50000</v>
      </c>
      <c r="M203" t="s">
        <v>31</v>
      </c>
      <c r="N203" s="11" t="str">
        <f>TEXT(tblSales[[#This Row],[Date]],"mmmm")</f>
        <v>June</v>
      </c>
      <c r="O203" s="11" t="str">
        <f>"Q"&amp;ROUNDUP(MONTH(tblSales[[#This Row],[Date]])/3,0)</f>
        <v>Q2</v>
      </c>
      <c r="P203" s="11">
        <f>YEAR(tblSales[[#This Row],[Date]])</f>
        <v>2024</v>
      </c>
      <c r="Q203" s="5">
        <f>tblSales[[#This Row],[Profit]]/tblSales[[#This Row],[Revenue]]</f>
        <v>0.2</v>
      </c>
      <c r="R203" s="8">
        <f>tblSales[[#This Row],[Revenue]]*1.1</f>
        <v>2200000</v>
      </c>
    </row>
    <row r="204" spans="1:18">
      <c r="A204" t="s">
        <v>645</v>
      </c>
      <c r="B204" s="7">
        <v>45445</v>
      </c>
      <c r="C204" t="s">
        <v>33</v>
      </c>
      <c r="D204" t="s">
        <v>34</v>
      </c>
      <c r="E204" t="s">
        <v>35</v>
      </c>
      <c r="F204" t="s">
        <v>36</v>
      </c>
      <c r="G204" t="s">
        <v>646</v>
      </c>
      <c r="H204">
        <v>500</v>
      </c>
      <c r="I204" s="8">
        <v>7500000</v>
      </c>
      <c r="J204" s="8">
        <v>1500000</v>
      </c>
      <c r="K204">
        <v>10</v>
      </c>
      <c r="L204" s="8">
        <v>200000</v>
      </c>
      <c r="M204" t="s">
        <v>38</v>
      </c>
      <c r="N204" s="11" t="str">
        <f>TEXT(tblSales[[#This Row],[Date]],"mmmm")</f>
        <v>June</v>
      </c>
      <c r="O204" s="11" t="str">
        <f>"Q"&amp;ROUNDUP(MONTH(tblSales[[#This Row],[Date]])/3,0)</f>
        <v>Q2</v>
      </c>
      <c r="P204" s="11">
        <f>YEAR(tblSales[[#This Row],[Date]])</f>
        <v>2024</v>
      </c>
      <c r="Q204" s="5">
        <f>tblSales[[#This Row],[Profit]]/tblSales[[#This Row],[Revenue]]</f>
        <v>0.2</v>
      </c>
      <c r="R204" s="8">
        <f>tblSales[[#This Row],[Revenue]]*1.1</f>
        <v>8250000</v>
      </c>
    </row>
    <row r="205" spans="1:18">
      <c r="A205" t="s">
        <v>647</v>
      </c>
      <c r="B205" s="7">
        <v>45445</v>
      </c>
      <c r="C205" t="s">
        <v>40</v>
      </c>
      <c r="D205" t="s">
        <v>41</v>
      </c>
      <c r="E205" t="s">
        <v>42</v>
      </c>
      <c r="F205" t="s">
        <v>43</v>
      </c>
      <c r="G205" t="s">
        <v>648</v>
      </c>
      <c r="H205">
        <v>10</v>
      </c>
      <c r="I205" s="8">
        <v>5000000</v>
      </c>
      <c r="J205" s="8">
        <v>750000</v>
      </c>
      <c r="K205">
        <v>20</v>
      </c>
      <c r="L205" s="8">
        <v>150000</v>
      </c>
      <c r="M205" t="s">
        <v>24</v>
      </c>
      <c r="N205" s="11" t="str">
        <f>TEXT(tblSales[[#This Row],[Date]],"mmmm")</f>
        <v>June</v>
      </c>
      <c r="O205" s="11" t="str">
        <f>"Q"&amp;ROUNDUP(MONTH(tblSales[[#This Row],[Date]])/3,0)</f>
        <v>Q2</v>
      </c>
      <c r="P205" s="11">
        <f>YEAR(tblSales[[#This Row],[Date]])</f>
        <v>2024</v>
      </c>
      <c r="Q205" s="5">
        <f>tblSales[[#This Row],[Profit]]/tblSales[[#This Row],[Revenue]]</f>
        <v>0.15</v>
      </c>
      <c r="R205" s="8">
        <f>tblSales[[#This Row],[Revenue]]*1.1</f>
        <v>5500000</v>
      </c>
    </row>
    <row r="206" spans="1:18">
      <c r="A206" t="s">
        <v>649</v>
      </c>
      <c r="B206" s="7">
        <v>45446</v>
      </c>
      <c r="C206" t="s">
        <v>26</v>
      </c>
      <c r="D206" t="s">
        <v>46</v>
      </c>
      <c r="E206" t="s">
        <v>47</v>
      </c>
      <c r="F206" t="s">
        <v>22</v>
      </c>
      <c r="G206" t="s">
        <v>650</v>
      </c>
      <c r="H206">
        <v>8</v>
      </c>
      <c r="I206" s="8">
        <v>16000000</v>
      </c>
      <c r="J206" s="8">
        <v>2400000</v>
      </c>
      <c r="K206">
        <v>15</v>
      </c>
      <c r="L206" s="8">
        <v>120000</v>
      </c>
      <c r="M206" t="s">
        <v>24</v>
      </c>
      <c r="N206" s="11" t="str">
        <f>TEXT(tblSales[[#This Row],[Date]],"mmmm")</f>
        <v>June</v>
      </c>
      <c r="O206" s="11" t="str">
        <f>"Q"&amp;ROUNDUP(MONTH(tblSales[[#This Row],[Date]])/3,0)</f>
        <v>Q2</v>
      </c>
      <c r="P206" s="11">
        <f>YEAR(tblSales[[#This Row],[Date]])</f>
        <v>2024</v>
      </c>
      <c r="Q206" s="5">
        <f>tblSales[[#This Row],[Profit]]/tblSales[[#This Row],[Revenue]]</f>
        <v>0.15</v>
      </c>
      <c r="R206" s="8">
        <f>tblSales[[#This Row],[Revenue]]*1.1</f>
        <v>17600000</v>
      </c>
    </row>
    <row r="207" spans="1:18">
      <c r="A207" t="s">
        <v>651</v>
      </c>
      <c r="B207" s="7">
        <v>45446</v>
      </c>
      <c r="C207" t="s">
        <v>19</v>
      </c>
      <c r="D207" t="s">
        <v>50</v>
      </c>
      <c r="E207" t="s">
        <v>51</v>
      </c>
      <c r="F207" t="s">
        <v>29</v>
      </c>
      <c r="G207" t="s">
        <v>652</v>
      </c>
      <c r="H207">
        <v>3</v>
      </c>
      <c r="I207" s="8">
        <v>1500000</v>
      </c>
      <c r="J207" s="8">
        <v>225000</v>
      </c>
      <c r="K207">
        <v>0</v>
      </c>
      <c r="L207" s="8">
        <v>30000</v>
      </c>
      <c r="M207" t="s">
        <v>31</v>
      </c>
      <c r="N207" s="11" t="str">
        <f>TEXT(tblSales[[#This Row],[Date]],"mmmm")</f>
        <v>June</v>
      </c>
      <c r="O207" s="11" t="str">
        <f>"Q"&amp;ROUNDUP(MONTH(tblSales[[#This Row],[Date]])/3,0)</f>
        <v>Q2</v>
      </c>
      <c r="P207" s="11">
        <f>YEAR(tblSales[[#This Row],[Date]])</f>
        <v>2024</v>
      </c>
      <c r="Q207" s="5">
        <f>tblSales[[#This Row],[Profit]]/tblSales[[#This Row],[Revenue]]</f>
        <v>0.15</v>
      </c>
      <c r="R207" s="8">
        <f>tblSales[[#This Row],[Revenue]]*1.1</f>
        <v>1650000</v>
      </c>
    </row>
    <row r="208" spans="1:18">
      <c r="A208" t="s">
        <v>653</v>
      </c>
      <c r="B208" s="7">
        <v>45447</v>
      </c>
      <c r="C208" t="s">
        <v>33</v>
      </c>
      <c r="D208" t="s">
        <v>54</v>
      </c>
      <c r="E208" t="s">
        <v>55</v>
      </c>
      <c r="F208" t="s">
        <v>36</v>
      </c>
      <c r="G208" t="s">
        <v>654</v>
      </c>
      <c r="H208">
        <v>120</v>
      </c>
      <c r="I208" s="8">
        <v>1800000</v>
      </c>
      <c r="J208" s="8">
        <v>360000</v>
      </c>
      <c r="K208">
        <v>0</v>
      </c>
      <c r="L208" s="8">
        <v>80000</v>
      </c>
      <c r="M208" t="s">
        <v>38</v>
      </c>
      <c r="N208" s="11" t="str">
        <f>TEXT(tblSales[[#This Row],[Date]],"mmmm")</f>
        <v>June</v>
      </c>
      <c r="O208" s="11" t="str">
        <f>"Q"&amp;ROUNDUP(MONTH(tblSales[[#This Row],[Date]])/3,0)</f>
        <v>Q2</v>
      </c>
      <c r="P208" s="11">
        <f>YEAR(tblSales[[#This Row],[Date]])</f>
        <v>2024</v>
      </c>
      <c r="Q208" s="5">
        <f>tblSales[[#This Row],[Profit]]/tblSales[[#This Row],[Revenue]]</f>
        <v>0.2</v>
      </c>
      <c r="R208" s="8">
        <f>tblSales[[#This Row],[Revenue]]*1.1</f>
        <v>1980000</v>
      </c>
    </row>
    <row r="209" spans="1:18">
      <c r="A209" t="s">
        <v>655</v>
      </c>
      <c r="B209" s="7">
        <v>45447</v>
      </c>
      <c r="C209" t="s">
        <v>26</v>
      </c>
      <c r="D209" t="s">
        <v>27</v>
      </c>
      <c r="E209" t="s">
        <v>58</v>
      </c>
      <c r="F209" t="s">
        <v>22</v>
      </c>
      <c r="G209" t="s">
        <v>656</v>
      </c>
      <c r="H209">
        <v>25</v>
      </c>
      <c r="I209" s="8">
        <v>12500000</v>
      </c>
      <c r="J209" s="8">
        <v>2500000</v>
      </c>
      <c r="K209">
        <v>8</v>
      </c>
      <c r="L209" s="8">
        <v>250000</v>
      </c>
      <c r="M209" t="s">
        <v>24</v>
      </c>
      <c r="N209" s="11" t="str">
        <f>TEXT(tblSales[[#This Row],[Date]],"mmmm")</f>
        <v>June</v>
      </c>
      <c r="O209" s="11" t="str">
        <f>"Q"&amp;ROUNDUP(MONTH(tblSales[[#This Row],[Date]])/3,0)</f>
        <v>Q2</v>
      </c>
      <c r="P209" s="11">
        <f>YEAR(tblSales[[#This Row],[Date]])</f>
        <v>2024</v>
      </c>
      <c r="Q209" s="5">
        <f>tblSales[[#This Row],[Profit]]/tblSales[[#This Row],[Revenue]]</f>
        <v>0.2</v>
      </c>
      <c r="R209" s="8">
        <f>tblSales[[#This Row],[Revenue]]*1.1</f>
        <v>13750000</v>
      </c>
    </row>
    <row r="210" spans="1:18">
      <c r="A210" t="s">
        <v>657</v>
      </c>
      <c r="B210" s="7">
        <v>45448</v>
      </c>
      <c r="C210" t="s">
        <v>40</v>
      </c>
      <c r="D210" t="s">
        <v>61</v>
      </c>
      <c r="E210" t="s">
        <v>62</v>
      </c>
      <c r="F210" t="s">
        <v>43</v>
      </c>
      <c r="G210" t="s">
        <v>658</v>
      </c>
      <c r="H210">
        <v>6</v>
      </c>
      <c r="I210" s="8">
        <v>5400000</v>
      </c>
      <c r="J210" s="8">
        <v>810000</v>
      </c>
      <c r="K210">
        <v>12</v>
      </c>
      <c r="L210" s="8">
        <v>180000</v>
      </c>
      <c r="M210" t="s">
        <v>31</v>
      </c>
      <c r="N210" s="11" t="str">
        <f>TEXT(tblSales[[#This Row],[Date]],"mmmm")</f>
        <v>June</v>
      </c>
      <c r="O210" s="11" t="str">
        <f>"Q"&amp;ROUNDUP(MONTH(tblSales[[#This Row],[Date]])/3,0)</f>
        <v>Q2</v>
      </c>
      <c r="P210" s="11">
        <f>YEAR(tblSales[[#This Row],[Date]])</f>
        <v>2024</v>
      </c>
      <c r="Q210" s="5">
        <f>tblSales[[#This Row],[Profit]]/tblSales[[#This Row],[Revenue]]</f>
        <v>0.15</v>
      </c>
      <c r="R210" s="8">
        <f>tblSales[[#This Row],[Revenue]]*1.1</f>
        <v>5940000</v>
      </c>
    </row>
    <row r="211" spans="1:18">
      <c r="A211" t="s">
        <v>659</v>
      </c>
      <c r="B211" s="7">
        <v>45448</v>
      </c>
      <c r="C211" t="s">
        <v>19</v>
      </c>
      <c r="D211" t="s">
        <v>20</v>
      </c>
      <c r="E211" t="s">
        <v>65</v>
      </c>
      <c r="F211" t="s">
        <v>29</v>
      </c>
      <c r="G211" t="s">
        <v>660</v>
      </c>
      <c r="H211">
        <v>10</v>
      </c>
      <c r="I211" s="8">
        <v>3500000</v>
      </c>
      <c r="J211" s="8">
        <v>525000</v>
      </c>
      <c r="K211">
        <v>0</v>
      </c>
      <c r="L211" s="8">
        <v>40000</v>
      </c>
      <c r="M211" t="s">
        <v>24</v>
      </c>
      <c r="N211" s="11" t="str">
        <f>TEXT(tblSales[[#This Row],[Date]],"mmmm")</f>
        <v>June</v>
      </c>
      <c r="O211" s="11" t="str">
        <f>"Q"&amp;ROUNDUP(MONTH(tblSales[[#This Row],[Date]])/3,0)</f>
        <v>Q2</v>
      </c>
      <c r="P211" s="11">
        <f>YEAR(tblSales[[#This Row],[Date]])</f>
        <v>2024</v>
      </c>
      <c r="Q211" s="5">
        <f>tblSales[[#This Row],[Profit]]/tblSales[[#This Row],[Revenue]]</f>
        <v>0.15</v>
      </c>
      <c r="R211" s="8">
        <f>tblSales[[#This Row],[Revenue]]*1.1</f>
        <v>3850000</v>
      </c>
    </row>
    <row r="212" spans="1:18">
      <c r="A212" t="s">
        <v>661</v>
      </c>
      <c r="B212" s="7">
        <v>45449</v>
      </c>
      <c r="C212" t="s">
        <v>33</v>
      </c>
      <c r="D212" t="s">
        <v>34</v>
      </c>
      <c r="E212" t="s">
        <v>68</v>
      </c>
      <c r="F212" t="s">
        <v>36</v>
      </c>
      <c r="G212" t="s">
        <v>662</v>
      </c>
      <c r="H212">
        <v>30</v>
      </c>
      <c r="I212" s="8">
        <v>13500000</v>
      </c>
      <c r="J212" s="8">
        <v>2700000</v>
      </c>
      <c r="K212">
        <v>0</v>
      </c>
      <c r="L212" s="8">
        <v>500000</v>
      </c>
      <c r="M212" t="s">
        <v>38</v>
      </c>
      <c r="N212" s="11" t="str">
        <f>TEXT(tblSales[[#This Row],[Date]],"mmmm")</f>
        <v>June</v>
      </c>
      <c r="O212" s="11" t="str">
        <f>"Q"&amp;ROUNDUP(MONTH(tblSales[[#This Row],[Date]])/3,0)</f>
        <v>Q2</v>
      </c>
      <c r="P212" s="11">
        <f>YEAR(tblSales[[#This Row],[Date]])</f>
        <v>2024</v>
      </c>
      <c r="Q212" s="5">
        <f>tblSales[[#This Row],[Profit]]/tblSales[[#This Row],[Revenue]]</f>
        <v>0.2</v>
      </c>
      <c r="R212" s="8">
        <f>tblSales[[#This Row],[Revenue]]*1.1</f>
        <v>14850000</v>
      </c>
    </row>
    <row r="213" spans="1:18">
      <c r="A213" t="s">
        <v>663</v>
      </c>
      <c r="B213" s="7">
        <v>45449</v>
      </c>
      <c r="C213" t="s">
        <v>26</v>
      </c>
      <c r="D213" t="s">
        <v>71</v>
      </c>
      <c r="E213" t="s">
        <v>72</v>
      </c>
      <c r="F213" t="s">
        <v>22</v>
      </c>
      <c r="G213" t="s">
        <v>664</v>
      </c>
      <c r="H213">
        <v>15</v>
      </c>
      <c r="I213" s="8">
        <v>7500000</v>
      </c>
      <c r="J213" s="8">
        <v>1125000</v>
      </c>
      <c r="K213">
        <v>5</v>
      </c>
      <c r="L213" s="8">
        <v>200000</v>
      </c>
      <c r="M213" t="s">
        <v>31</v>
      </c>
      <c r="N213" s="11" t="str">
        <f>TEXT(tblSales[[#This Row],[Date]],"mmmm")</f>
        <v>June</v>
      </c>
      <c r="O213" s="11" t="str">
        <f>"Q"&amp;ROUNDUP(MONTH(tblSales[[#This Row],[Date]])/3,0)</f>
        <v>Q2</v>
      </c>
      <c r="P213" s="11">
        <f>YEAR(tblSales[[#This Row],[Date]])</f>
        <v>2024</v>
      </c>
      <c r="Q213" s="5">
        <f>tblSales[[#This Row],[Profit]]/tblSales[[#This Row],[Revenue]]</f>
        <v>0.15</v>
      </c>
      <c r="R213" s="8">
        <f>tblSales[[#This Row],[Revenue]]*1.1</f>
        <v>8250000</v>
      </c>
    </row>
    <row r="214" spans="1:18">
      <c r="A214" t="s">
        <v>665</v>
      </c>
      <c r="B214" s="7">
        <v>45450</v>
      </c>
      <c r="C214" t="s">
        <v>19</v>
      </c>
      <c r="D214" t="s">
        <v>50</v>
      </c>
      <c r="E214" t="s">
        <v>75</v>
      </c>
      <c r="F214" t="s">
        <v>29</v>
      </c>
      <c r="G214" t="s">
        <v>666</v>
      </c>
      <c r="H214">
        <v>500</v>
      </c>
      <c r="I214" s="8">
        <v>2500000</v>
      </c>
      <c r="J214" s="8">
        <v>500000</v>
      </c>
      <c r="K214">
        <v>0</v>
      </c>
      <c r="L214" s="8">
        <v>60000</v>
      </c>
      <c r="M214" t="s">
        <v>24</v>
      </c>
      <c r="N214" s="11" t="str">
        <f>TEXT(tblSales[[#This Row],[Date]],"mmmm")</f>
        <v>June</v>
      </c>
      <c r="O214" s="11" t="str">
        <f>"Q"&amp;ROUNDUP(MONTH(tblSales[[#This Row],[Date]])/3,0)</f>
        <v>Q2</v>
      </c>
      <c r="P214" s="11">
        <f>YEAR(tblSales[[#This Row],[Date]])</f>
        <v>2024</v>
      </c>
      <c r="Q214" s="5">
        <f>tblSales[[#This Row],[Profit]]/tblSales[[#This Row],[Revenue]]</f>
        <v>0.2</v>
      </c>
      <c r="R214" s="8">
        <f>tblSales[[#This Row],[Revenue]]*1.1</f>
        <v>2750000</v>
      </c>
    </row>
    <row r="215" spans="1:18">
      <c r="A215" t="s">
        <v>667</v>
      </c>
      <c r="B215" s="7">
        <v>45450</v>
      </c>
      <c r="C215" t="s">
        <v>40</v>
      </c>
      <c r="D215" t="s">
        <v>41</v>
      </c>
      <c r="E215" t="s">
        <v>78</v>
      </c>
      <c r="F215" t="s">
        <v>43</v>
      </c>
      <c r="G215" t="s">
        <v>668</v>
      </c>
      <c r="H215">
        <v>4</v>
      </c>
      <c r="I215" s="8">
        <v>2800000</v>
      </c>
      <c r="J215" s="8">
        <v>420000</v>
      </c>
      <c r="K215">
        <v>18</v>
      </c>
      <c r="L215" s="8">
        <v>100000</v>
      </c>
      <c r="M215" t="s">
        <v>24</v>
      </c>
      <c r="N215" s="11" t="str">
        <f>TEXT(tblSales[[#This Row],[Date]],"mmmm")</f>
        <v>June</v>
      </c>
      <c r="O215" s="11" t="str">
        <f>"Q"&amp;ROUNDUP(MONTH(tblSales[[#This Row],[Date]])/3,0)</f>
        <v>Q2</v>
      </c>
      <c r="P215" s="11">
        <f>YEAR(tblSales[[#This Row],[Date]])</f>
        <v>2024</v>
      </c>
      <c r="Q215" s="5">
        <f>tblSales[[#This Row],[Profit]]/tblSales[[#This Row],[Revenue]]</f>
        <v>0.15</v>
      </c>
      <c r="R215" s="8">
        <f>tblSales[[#This Row],[Revenue]]*1.1</f>
        <v>3080000</v>
      </c>
    </row>
    <row r="216" spans="1:18">
      <c r="A216" t="s">
        <v>669</v>
      </c>
      <c r="B216" s="7">
        <v>45451</v>
      </c>
      <c r="C216" t="s">
        <v>33</v>
      </c>
      <c r="D216" t="s">
        <v>54</v>
      </c>
      <c r="E216" t="s">
        <v>81</v>
      </c>
      <c r="F216" t="s">
        <v>36</v>
      </c>
      <c r="G216" t="s">
        <v>670</v>
      </c>
      <c r="H216">
        <v>300</v>
      </c>
      <c r="I216" s="8">
        <v>4500000</v>
      </c>
      <c r="J216" s="8">
        <v>900000</v>
      </c>
      <c r="K216">
        <v>0</v>
      </c>
      <c r="L216" s="8">
        <v>150000</v>
      </c>
      <c r="M216" t="s">
        <v>38</v>
      </c>
      <c r="N216" s="11" t="str">
        <f>TEXT(tblSales[[#This Row],[Date]],"mmmm")</f>
        <v>June</v>
      </c>
      <c r="O216" s="11" t="str">
        <f>"Q"&amp;ROUNDUP(MONTH(tblSales[[#This Row],[Date]])/3,0)</f>
        <v>Q2</v>
      </c>
      <c r="P216" s="11">
        <f>YEAR(tblSales[[#This Row],[Date]])</f>
        <v>2024</v>
      </c>
      <c r="Q216" s="5">
        <f>tblSales[[#This Row],[Profit]]/tblSales[[#This Row],[Revenue]]</f>
        <v>0.2</v>
      </c>
      <c r="R216" s="8">
        <f>tblSales[[#This Row],[Revenue]]*1.1</f>
        <v>4950000</v>
      </c>
    </row>
    <row r="217" spans="1:18">
      <c r="A217" t="s">
        <v>671</v>
      </c>
      <c r="B217" s="7">
        <v>45451</v>
      </c>
      <c r="C217" t="s">
        <v>26</v>
      </c>
      <c r="D217" t="s">
        <v>27</v>
      </c>
      <c r="E217" t="s">
        <v>84</v>
      </c>
      <c r="F217" t="s">
        <v>22</v>
      </c>
      <c r="G217" t="s">
        <v>672</v>
      </c>
      <c r="H217">
        <v>20</v>
      </c>
      <c r="I217" s="8">
        <v>70000000</v>
      </c>
      <c r="J217" s="8">
        <v>10500000</v>
      </c>
      <c r="K217">
        <v>10</v>
      </c>
      <c r="L217" s="8">
        <v>500000</v>
      </c>
      <c r="M217" t="s">
        <v>24</v>
      </c>
      <c r="N217" s="11" t="str">
        <f>TEXT(tblSales[[#This Row],[Date]],"mmmm")</f>
        <v>June</v>
      </c>
      <c r="O217" s="11" t="str">
        <f>"Q"&amp;ROUNDUP(MONTH(tblSales[[#This Row],[Date]])/3,0)</f>
        <v>Q2</v>
      </c>
      <c r="P217" s="11">
        <f>YEAR(tblSales[[#This Row],[Date]])</f>
        <v>2024</v>
      </c>
      <c r="Q217" s="5">
        <f>tblSales[[#This Row],[Profit]]/tblSales[[#This Row],[Revenue]]</f>
        <v>0.15</v>
      </c>
      <c r="R217" s="8">
        <f>tblSales[[#This Row],[Revenue]]*1.1</f>
        <v>77000000</v>
      </c>
    </row>
    <row r="218" spans="1:18">
      <c r="A218" t="s">
        <v>673</v>
      </c>
      <c r="B218" s="7">
        <v>45452</v>
      </c>
      <c r="C218" t="s">
        <v>19</v>
      </c>
      <c r="D218" t="s">
        <v>20</v>
      </c>
      <c r="E218" t="s">
        <v>87</v>
      </c>
      <c r="F218" t="s">
        <v>29</v>
      </c>
      <c r="G218" t="s">
        <v>674</v>
      </c>
      <c r="H218">
        <v>50</v>
      </c>
      <c r="I218" s="8">
        <v>3000000</v>
      </c>
      <c r="J218" s="8">
        <v>450000</v>
      </c>
      <c r="K218">
        <v>15</v>
      </c>
      <c r="L218" s="8">
        <v>80000</v>
      </c>
      <c r="M218" t="s">
        <v>31</v>
      </c>
      <c r="N218" s="11" t="str">
        <f>TEXT(tblSales[[#This Row],[Date]],"mmmm")</f>
        <v>June</v>
      </c>
      <c r="O218" s="11" t="str">
        <f>"Q"&amp;ROUNDUP(MONTH(tblSales[[#This Row],[Date]])/3,0)</f>
        <v>Q2</v>
      </c>
      <c r="P218" s="11">
        <f>YEAR(tblSales[[#This Row],[Date]])</f>
        <v>2024</v>
      </c>
      <c r="Q218" s="5">
        <f>tblSales[[#This Row],[Profit]]/tblSales[[#This Row],[Revenue]]</f>
        <v>0.15</v>
      </c>
      <c r="R218" s="8">
        <f>tblSales[[#This Row],[Revenue]]*1.1</f>
        <v>3300000</v>
      </c>
    </row>
    <row r="219" spans="1:18">
      <c r="A219" t="s">
        <v>675</v>
      </c>
      <c r="B219" s="7">
        <v>45452</v>
      </c>
      <c r="C219" t="s">
        <v>33</v>
      </c>
      <c r="D219" t="s">
        <v>34</v>
      </c>
      <c r="E219" t="s">
        <v>90</v>
      </c>
      <c r="F219" t="s">
        <v>36</v>
      </c>
      <c r="G219" t="s">
        <v>676</v>
      </c>
      <c r="H219">
        <v>400</v>
      </c>
      <c r="I219" s="8">
        <v>8000000</v>
      </c>
      <c r="J219" s="8">
        <v>1600000</v>
      </c>
      <c r="K219">
        <v>0</v>
      </c>
      <c r="L219" s="8">
        <v>250000</v>
      </c>
      <c r="M219" t="s">
        <v>38</v>
      </c>
      <c r="N219" s="11" t="str">
        <f>TEXT(tblSales[[#This Row],[Date]],"mmmm")</f>
        <v>June</v>
      </c>
      <c r="O219" s="11" t="str">
        <f>"Q"&amp;ROUNDUP(MONTH(tblSales[[#This Row],[Date]])/3,0)</f>
        <v>Q2</v>
      </c>
      <c r="P219" s="11">
        <f>YEAR(tblSales[[#This Row],[Date]])</f>
        <v>2024</v>
      </c>
      <c r="Q219" s="5">
        <f>tblSales[[#This Row],[Profit]]/tblSales[[#This Row],[Revenue]]</f>
        <v>0.2</v>
      </c>
      <c r="R219" s="8">
        <f>tblSales[[#This Row],[Revenue]]*1.1</f>
        <v>8800000</v>
      </c>
    </row>
    <row r="220" spans="1:18">
      <c r="A220" t="s">
        <v>677</v>
      </c>
      <c r="B220" s="7">
        <v>45453</v>
      </c>
      <c r="C220" t="s">
        <v>40</v>
      </c>
      <c r="D220" t="s">
        <v>93</v>
      </c>
      <c r="E220" t="s">
        <v>94</v>
      </c>
      <c r="F220" t="s">
        <v>43</v>
      </c>
      <c r="G220" t="s">
        <v>678</v>
      </c>
      <c r="H220">
        <v>12</v>
      </c>
      <c r="I220" s="8">
        <v>1800000</v>
      </c>
      <c r="J220" s="8">
        <v>270000</v>
      </c>
      <c r="K220">
        <v>5</v>
      </c>
      <c r="L220" s="8">
        <v>60000</v>
      </c>
      <c r="M220" t="s">
        <v>24</v>
      </c>
      <c r="N220" s="11" t="str">
        <f>TEXT(tblSales[[#This Row],[Date]],"mmmm")</f>
        <v>June</v>
      </c>
      <c r="O220" s="11" t="str">
        <f>"Q"&amp;ROUNDUP(MONTH(tblSales[[#This Row],[Date]])/3,0)</f>
        <v>Q2</v>
      </c>
      <c r="P220" s="11">
        <f>YEAR(tblSales[[#This Row],[Date]])</f>
        <v>2024</v>
      </c>
      <c r="Q220" s="5">
        <f>tblSales[[#This Row],[Profit]]/tblSales[[#This Row],[Revenue]]</f>
        <v>0.15</v>
      </c>
      <c r="R220" s="8">
        <f>tblSales[[#This Row],[Revenue]]*1.1</f>
        <v>1980000</v>
      </c>
    </row>
    <row r="221" spans="1:18">
      <c r="A221" t="s">
        <v>679</v>
      </c>
      <c r="B221" s="7">
        <v>45453</v>
      </c>
      <c r="C221" t="s">
        <v>26</v>
      </c>
      <c r="D221" t="s">
        <v>46</v>
      </c>
      <c r="E221" t="s">
        <v>97</v>
      </c>
      <c r="F221" t="s">
        <v>22</v>
      </c>
      <c r="G221" t="s">
        <v>680</v>
      </c>
      <c r="H221">
        <v>30</v>
      </c>
      <c r="I221" s="8">
        <v>9000000</v>
      </c>
      <c r="J221" s="8">
        <v>1350000</v>
      </c>
      <c r="K221">
        <v>0</v>
      </c>
      <c r="L221" s="8">
        <v>200000</v>
      </c>
      <c r="M221" t="s">
        <v>31</v>
      </c>
      <c r="N221" s="11" t="str">
        <f>TEXT(tblSales[[#This Row],[Date]],"mmmm")</f>
        <v>June</v>
      </c>
      <c r="O221" s="11" t="str">
        <f>"Q"&amp;ROUNDUP(MONTH(tblSales[[#This Row],[Date]])/3,0)</f>
        <v>Q2</v>
      </c>
      <c r="P221" s="11">
        <f>YEAR(tblSales[[#This Row],[Date]])</f>
        <v>2024</v>
      </c>
      <c r="Q221" s="5">
        <f>tblSales[[#This Row],[Profit]]/tblSales[[#This Row],[Revenue]]</f>
        <v>0.15</v>
      </c>
      <c r="R221" s="8">
        <f>tblSales[[#This Row],[Revenue]]*1.1</f>
        <v>9900000</v>
      </c>
    </row>
    <row r="222" spans="1:18">
      <c r="A222" t="s">
        <v>681</v>
      </c>
      <c r="B222" s="7">
        <v>45454</v>
      </c>
      <c r="C222" t="s">
        <v>19</v>
      </c>
      <c r="D222" t="s">
        <v>100</v>
      </c>
      <c r="E222" t="s">
        <v>101</v>
      </c>
      <c r="F222" t="s">
        <v>29</v>
      </c>
      <c r="G222" t="s">
        <v>682</v>
      </c>
      <c r="H222">
        <v>1000</v>
      </c>
      <c r="I222" s="8">
        <v>5000000</v>
      </c>
      <c r="J222" s="8">
        <v>1000000</v>
      </c>
      <c r="K222">
        <v>0</v>
      </c>
      <c r="L222" s="8">
        <v>150000</v>
      </c>
      <c r="M222" t="s">
        <v>24</v>
      </c>
      <c r="N222" s="11" t="str">
        <f>TEXT(tblSales[[#This Row],[Date]],"mmmm")</f>
        <v>June</v>
      </c>
      <c r="O222" s="11" t="str">
        <f>"Q"&amp;ROUNDUP(MONTH(tblSales[[#This Row],[Date]])/3,0)</f>
        <v>Q2</v>
      </c>
      <c r="P222" s="11">
        <f>YEAR(tblSales[[#This Row],[Date]])</f>
        <v>2024</v>
      </c>
      <c r="Q222" s="5">
        <f>tblSales[[#This Row],[Profit]]/tblSales[[#This Row],[Revenue]]</f>
        <v>0.2</v>
      </c>
      <c r="R222" s="8">
        <f>tblSales[[#This Row],[Revenue]]*1.1</f>
        <v>5500000</v>
      </c>
    </row>
    <row r="223" spans="1:18">
      <c r="A223" t="s">
        <v>683</v>
      </c>
      <c r="B223" s="7">
        <v>45454</v>
      </c>
      <c r="C223" t="s">
        <v>33</v>
      </c>
      <c r="D223" t="s">
        <v>54</v>
      </c>
      <c r="E223" t="s">
        <v>104</v>
      </c>
      <c r="F223" t="s">
        <v>36</v>
      </c>
      <c r="G223" t="s">
        <v>684</v>
      </c>
      <c r="H223">
        <v>250</v>
      </c>
      <c r="I223" s="8">
        <v>3125000</v>
      </c>
      <c r="J223" s="8">
        <v>625000</v>
      </c>
      <c r="K223">
        <v>0</v>
      </c>
      <c r="L223" s="8">
        <v>100000</v>
      </c>
      <c r="M223" t="s">
        <v>38</v>
      </c>
      <c r="N223" s="11" t="str">
        <f>TEXT(tblSales[[#This Row],[Date]],"mmmm")</f>
        <v>June</v>
      </c>
      <c r="O223" s="11" t="str">
        <f>"Q"&amp;ROUNDUP(MONTH(tblSales[[#This Row],[Date]])/3,0)</f>
        <v>Q2</v>
      </c>
      <c r="P223" s="11">
        <f>YEAR(tblSales[[#This Row],[Date]])</f>
        <v>2024</v>
      </c>
      <c r="Q223" s="5">
        <f>tblSales[[#This Row],[Profit]]/tblSales[[#This Row],[Revenue]]</f>
        <v>0.2</v>
      </c>
      <c r="R223" s="8">
        <f>tblSales[[#This Row],[Revenue]]*1.1</f>
        <v>3437500</v>
      </c>
    </row>
    <row r="224" spans="1:18">
      <c r="A224" t="s">
        <v>685</v>
      </c>
      <c r="B224" s="7">
        <v>45455</v>
      </c>
      <c r="C224" t="s">
        <v>26</v>
      </c>
      <c r="D224" t="s">
        <v>27</v>
      </c>
      <c r="E224" t="s">
        <v>107</v>
      </c>
      <c r="F224" t="s">
        <v>43</v>
      </c>
      <c r="G224" t="s">
        <v>686</v>
      </c>
      <c r="H224">
        <v>5</v>
      </c>
      <c r="I224" s="8">
        <v>1250000</v>
      </c>
      <c r="J224" s="8">
        <v>187500</v>
      </c>
      <c r="K224">
        <v>10</v>
      </c>
      <c r="L224" s="8">
        <v>50000</v>
      </c>
      <c r="M224" t="s">
        <v>24</v>
      </c>
      <c r="N224" s="11" t="str">
        <f>TEXT(tblSales[[#This Row],[Date]],"mmmm")</f>
        <v>June</v>
      </c>
      <c r="O224" s="11" t="str">
        <f>"Q"&amp;ROUNDUP(MONTH(tblSales[[#This Row],[Date]])/3,0)</f>
        <v>Q2</v>
      </c>
      <c r="P224" s="11">
        <f>YEAR(tblSales[[#This Row],[Date]])</f>
        <v>2024</v>
      </c>
      <c r="Q224" s="5">
        <f>tblSales[[#This Row],[Profit]]/tblSales[[#This Row],[Revenue]]</f>
        <v>0.15</v>
      </c>
      <c r="R224" s="8">
        <f>tblSales[[#This Row],[Revenue]]*1.1</f>
        <v>1375000</v>
      </c>
    </row>
    <row r="225" spans="1:18">
      <c r="A225" t="s">
        <v>687</v>
      </c>
      <c r="B225" s="7">
        <v>45455</v>
      </c>
      <c r="C225" t="s">
        <v>40</v>
      </c>
      <c r="D225" t="s">
        <v>41</v>
      </c>
      <c r="E225" t="s">
        <v>110</v>
      </c>
      <c r="F225" t="s">
        <v>22</v>
      </c>
      <c r="G225" t="s">
        <v>688</v>
      </c>
      <c r="H225">
        <v>40</v>
      </c>
      <c r="I225" s="8">
        <v>6000000</v>
      </c>
      <c r="J225" s="8">
        <v>900000</v>
      </c>
      <c r="K225">
        <v>15</v>
      </c>
      <c r="L225" s="8">
        <v>250000</v>
      </c>
      <c r="M225" t="s">
        <v>31</v>
      </c>
      <c r="N225" s="11" t="str">
        <f>TEXT(tblSales[[#This Row],[Date]],"mmmm")</f>
        <v>June</v>
      </c>
      <c r="O225" s="11" t="str">
        <f>"Q"&amp;ROUNDUP(MONTH(tblSales[[#This Row],[Date]])/3,0)</f>
        <v>Q2</v>
      </c>
      <c r="P225" s="11">
        <f>YEAR(tblSales[[#This Row],[Date]])</f>
        <v>2024</v>
      </c>
      <c r="Q225" s="5">
        <f>tblSales[[#This Row],[Profit]]/tblSales[[#This Row],[Revenue]]</f>
        <v>0.15</v>
      </c>
      <c r="R225" s="8">
        <f>tblSales[[#This Row],[Revenue]]*1.1</f>
        <v>6600000</v>
      </c>
    </row>
    <row r="226" spans="1:18">
      <c r="A226" t="s">
        <v>689</v>
      </c>
      <c r="B226" s="7">
        <v>45456</v>
      </c>
      <c r="C226" t="s">
        <v>19</v>
      </c>
      <c r="D226" t="s">
        <v>113</v>
      </c>
      <c r="E226" t="s">
        <v>114</v>
      </c>
      <c r="F226" t="s">
        <v>29</v>
      </c>
      <c r="G226" t="s">
        <v>690</v>
      </c>
      <c r="H226">
        <v>200</v>
      </c>
      <c r="I226" s="8">
        <v>1200000</v>
      </c>
      <c r="J226" s="8">
        <v>240000</v>
      </c>
      <c r="K226">
        <v>0</v>
      </c>
      <c r="L226" s="8">
        <v>40000</v>
      </c>
      <c r="M226" t="s">
        <v>24</v>
      </c>
      <c r="N226" s="11" t="str">
        <f>TEXT(tblSales[[#This Row],[Date]],"mmmm")</f>
        <v>June</v>
      </c>
      <c r="O226" s="11" t="str">
        <f>"Q"&amp;ROUNDUP(MONTH(tblSales[[#This Row],[Date]])/3,0)</f>
        <v>Q2</v>
      </c>
      <c r="P226" s="11">
        <f>YEAR(tblSales[[#This Row],[Date]])</f>
        <v>2024</v>
      </c>
      <c r="Q226" s="5">
        <f>tblSales[[#This Row],[Profit]]/tblSales[[#This Row],[Revenue]]</f>
        <v>0.2</v>
      </c>
      <c r="R226" s="8">
        <f>tblSales[[#This Row],[Revenue]]*1.1</f>
        <v>1320000</v>
      </c>
    </row>
    <row r="227" spans="1:18">
      <c r="A227" t="s">
        <v>691</v>
      </c>
      <c r="B227" s="7">
        <v>45456</v>
      </c>
      <c r="C227" t="s">
        <v>33</v>
      </c>
      <c r="D227" t="s">
        <v>34</v>
      </c>
      <c r="E227" t="s">
        <v>117</v>
      </c>
      <c r="F227" t="s">
        <v>36</v>
      </c>
      <c r="G227" t="s">
        <v>692</v>
      </c>
      <c r="H227">
        <v>180</v>
      </c>
      <c r="I227" s="8">
        <v>3600000</v>
      </c>
      <c r="J227" s="8">
        <v>720000</v>
      </c>
      <c r="K227">
        <v>5</v>
      </c>
      <c r="L227" s="8">
        <v>120000</v>
      </c>
      <c r="M227" t="s">
        <v>38</v>
      </c>
      <c r="N227" s="11" t="str">
        <f>TEXT(tblSales[[#This Row],[Date]],"mmmm")</f>
        <v>June</v>
      </c>
      <c r="O227" s="11" t="str">
        <f>"Q"&amp;ROUNDUP(MONTH(tblSales[[#This Row],[Date]])/3,0)</f>
        <v>Q2</v>
      </c>
      <c r="P227" s="11">
        <f>YEAR(tblSales[[#This Row],[Date]])</f>
        <v>2024</v>
      </c>
      <c r="Q227" s="5">
        <f>tblSales[[#This Row],[Profit]]/tblSales[[#This Row],[Revenue]]</f>
        <v>0.2</v>
      </c>
      <c r="R227" s="8">
        <f>tblSales[[#This Row],[Revenue]]*1.1</f>
        <v>3960000</v>
      </c>
    </row>
    <row r="228" spans="1:18">
      <c r="A228" t="s">
        <v>693</v>
      </c>
      <c r="B228" s="7">
        <v>45457</v>
      </c>
      <c r="C228" t="s">
        <v>26</v>
      </c>
      <c r="D228" t="s">
        <v>27</v>
      </c>
      <c r="E228" t="s">
        <v>120</v>
      </c>
      <c r="F228" t="s">
        <v>22</v>
      </c>
      <c r="G228" t="s">
        <v>694</v>
      </c>
      <c r="H228">
        <v>25</v>
      </c>
      <c r="I228" s="8">
        <v>1875000</v>
      </c>
      <c r="J228" s="8">
        <v>281250</v>
      </c>
      <c r="K228">
        <v>10</v>
      </c>
      <c r="L228" s="8">
        <v>60000</v>
      </c>
      <c r="M228" t="s">
        <v>24</v>
      </c>
      <c r="N228" s="11" t="str">
        <f>TEXT(tblSales[[#This Row],[Date]],"mmmm")</f>
        <v>June</v>
      </c>
      <c r="O228" s="11" t="str">
        <f>"Q"&amp;ROUNDUP(MONTH(tblSales[[#This Row],[Date]])/3,0)</f>
        <v>Q2</v>
      </c>
      <c r="P228" s="11">
        <f>YEAR(tblSales[[#This Row],[Date]])</f>
        <v>2024</v>
      </c>
      <c r="Q228" s="5">
        <f>tblSales[[#This Row],[Profit]]/tblSales[[#This Row],[Revenue]]</f>
        <v>0.15</v>
      </c>
      <c r="R228" s="8">
        <f>tblSales[[#This Row],[Revenue]]*1.1</f>
        <v>2062500</v>
      </c>
    </row>
    <row r="229" spans="1:18">
      <c r="A229" t="s">
        <v>695</v>
      </c>
      <c r="B229" s="7">
        <v>45457</v>
      </c>
      <c r="C229" t="s">
        <v>19</v>
      </c>
      <c r="D229" t="s">
        <v>20</v>
      </c>
      <c r="E229" t="s">
        <v>123</v>
      </c>
      <c r="F229" t="s">
        <v>29</v>
      </c>
      <c r="G229" t="s">
        <v>696</v>
      </c>
      <c r="H229">
        <v>35</v>
      </c>
      <c r="I229" s="8">
        <v>2100000</v>
      </c>
      <c r="J229" s="8">
        <v>420000</v>
      </c>
      <c r="K229">
        <v>0</v>
      </c>
      <c r="L229" s="8">
        <v>50000</v>
      </c>
      <c r="M229" t="s">
        <v>31</v>
      </c>
      <c r="N229" s="11" t="str">
        <f>TEXT(tblSales[[#This Row],[Date]],"mmmm")</f>
        <v>June</v>
      </c>
      <c r="O229" s="11" t="str">
        <f>"Q"&amp;ROUNDUP(MONTH(tblSales[[#This Row],[Date]])/3,0)</f>
        <v>Q2</v>
      </c>
      <c r="P229" s="11">
        <f>YEAR(tblSales[[#This Row],[Date]])</f>
        <v>2024</v>
      </c>
      <c r="Q229" s="5">
        <f>tblSales[[#This Row],[Profit]]/tblSales[[#This Row],[Revenue]]</f>
        <v>0.2</v>
      </c>
      <c r="R229" s="8">
        <f>tblSales[[#This Row],[Revenue]]*1.1</f>
        <v>2310000</v>
      </c>
    </row>
    <row r="230" spans="1:18">
      <c r="A230" t="s">
        <v>697</v>
      </c>
      <c r="B230" s="7">
        <v>45458</v>
      </c>
      <c r="C230" t="s">
        <v>40</v>
      </c>
      <c r="D230" t="s">
        <v>126</v>
      </c>
      <c r="E230" t="s">
        <v>127</v>
      </c>
      <c r="F230" t="s">
        <v>43</v>
      </c>
      <c r="G230" t="s">
        <v>698</v>
      </c>
      <c r="H230">
        <v>50</v>
      </c>
      <c r="I230" s="8">
        <v>1500000</v>
      </c>
      <c r="J230" s="8">
        <v>225000</v>
      </c>
      <c r="K230">
        <v>5</v>
      </c>
      <c r="L230" s="8">
        <v>80000</v>
      </c>
      <c r="M230" t="s">
        <v>24</v>
      </c>
      <c r="N230" s="11" t="str">
        <f>TEXT(tblSales[[#This Row],[Date]],"mmmm")</f>
        <v>June</v>
      </c>
      <c r="O230" s="11" t="str">
        <f>"Q"&amp;ROUNDUP(MONTH(tblSales[[#This Row],[Date]])/3,0)</f>
        <v>Q2</v>
      </c>
      <c r="P230" s="11">
        <f>YEAR(tblSales[[#This Row],[Date]])</f>
        <v>2024</v>
      </c>
      <c r="Q230" s="5">
        <f>tblSales[[#This Row],[Profit]]/tblSales[[#This Row],[Revenue]]</f>
        <v>0.15</v>
      </c>
      <c r="R230" s="8">
        <f>tblSales[[#This Row],[Revenue]]*1.1</f>
        <v>1650000</v>
      </c>
    </row>
    <row r="231" spans="1:18">
      <c r="A231" t="s">
        <v>699</v>
      </c>
      <c r="B231" s="7">
        <v>45458</v>
      </c>
      <c r="C231" t="s">
        <v>33</v>
      </c>
      <c r="D231" t="s">
        <v>54</v>
      </c>
      <c r="E231" t="s">
        <v>130</v>
      </c>
      <c r="F231" t="s">
        <v>36</v>
      </c>
      <c r="G231" t="s">
        <v>700</v>
      </c>
      <c r="H231">
        <v>600</v>
      </c>
      <c r="I231" s="8">
        <v>3000000</v>
      </c>
      <c r="J231" s="8">
        <v>600000</v>
      </c>
      <c r="K231">
        <v>0</v>
      </c>
      <c r="L231" s="8">
        <v>200000</v>
      </c>
      <c r="M231" t="s">
        <v>38</v>
      </c>
      <c r="N231" s="11" t="str">
        <f>TEXT(tblSales[[#This Row],[Date]],"mmmm")</f>
        <v>June</v>
      </c>
      <c r="O231" s="11" t="str">
        <f>"Q"&amp;ROUNDUP(MONTH(tblSales[[#This Row],[Date]])/3,0)</f>
        <v>Q2</v>
      </c>
      <c r="P231" s="11">
        <f>YEAR(tblSales[[#This Row],[Date]])</f>
        <v>2024</v>
      </c>
      <c r="Q231" s="5">
        <f>tblSales[[#This Row],[Profit]]/tblSales[[#This Row],[Revenue]]</f>
        <v>0.2</v>
      </c>
      <c r="R231" s="8">
        <f>tblSales[[#This Row],[Revenue]]*1.1</f>
        <v>3300000</v>
      </c>
    </row>
    <row r="232" spans="1:18">
      <c r="A232" t="s">
        <v>701</v>
      </c>
      <c r="B232" s="7">
        <v>45459</v>
      </c>
      <c r="C232" t="s">
        <v>26</v>
      </c>
      <c r="D232" t="s">
        <v>46</v>
      </c>
      <c r="E232" t="s">
        <v>133</v>
      </c>
      <c r="F232" t="s">
        <v>22</v>
      </c>
      <c r="G232" t="s">
        <v>702</v>
      </c>
      <c r="H232">
        <v>100</v>
      </c>
      <c r="I232" s="8">
        <v>4000000</v>
      </c>
      <c r="J232" s="8">
        <v>800000</v>
      </c>
      <c r="K232">
        <v>0</v>
      </c>
      <c r="L232" s="8">
        <v>100000</v>
      </c>
      <c r="M232" t="s">
        <v>31</v>
      </c>
      <c r="N232" s="11" t="str">
        <f>TEXT(tblSales[[#This Row],[Date]],"mmmm")</f>
        <v>June</v>
      </c>
      <c r="O232" s="11" t="str">
        <f>"Q"&amp;ROUNDUP(MONTH(tblSales[[#This Row],[Date]])/3,0)</f>
        <v>Q2</v>
      </c>
      <c r="P232" s="11">
        <f>YEAR(tblSales[[#This Row],[Date]])</f>
        <v>2024</v>
      </c>
      <c r="Q232" s="5">
        <f>tblSales[[#This Row],[Profit]]/tblSales[[#This Row],[Revenue]]</f>
        <v>0.2</v>
      </c>
      <c r="R232" s="8">
        <f>tblSales[[#This Row],[Revenue]]*1.1</f>
        <v>4400000</v>
      </c>
    </row>
    <row r="233" spans="1:18">
      <c r="A233" t="s">
        <v>703</v>
      </c>
      <c r="B233" s="7">
        <v>45459</v>
      </c>
      <c r="C233" t="s">
        <v>19</v>
      </c>
      <c r="D233" t="s">
        <v>50</v>
      </c>
      <c r="E233" t="s">
        <v>136</v>
      </c>
      <c r="F233" t="s">
        <v>29</v>
      </c>
      <c r="G233" t="s">
        <v>704</v>
      </c>
      <c r="H233">
        <v>300</v>
      </c>
      <c r="I233" s="8">
        <v>1500000</v>
      </c>
      <c r="J233" s="8">
        <v>300000</v>
      </c>
      <c r="K233">
        <v>0</v>
      </c>
      <c r="L233" s="8">
        <v>30000</v>
      </c>
      <c r="M233" t="s">
        <v>24</v>
      </c>
      <c r="N233" s="11" t="str">
        <f>TEXT(tblSales[[#This Row],[Date]],"mmmm")</f>
        <v>June</v>
      </c>
      <c r="O233" s="11" t="str">
        <f>"Q"&amp;ROUNDUP(MONTH(tblSales[[#This Row],[Date]])/3,0)</f>
        <v>Q2</v>
      </c>
      <c r="P233" s="11">
        <f>YEAR(tblSales[[#This Row],[Date]])</f>
        <v>2024</v>
      </c>
      <c r="Q233" s="5">
        <f>tblSales[[#This Row],[Profit]]/tblSales[[#This Row],[Revenue]]</f>
        <v>0.2</v>
      </c>
      <c r="R233" s="8">
        <f>tblSales[[#This Row],[Revenue]]*1.1</f>
        <v>1650000</v>
      </c>
    </row>
    <row r="234" spans="1:18">
      <c r="A234" t="s">
        <v>705</v>
      </c>
      <c r="B234" s="7">
        <v>45460</v>
      </c>
      <c r="C234" t="s">
        <v>33</v>
      </c>
      <c r="D234" t="s">
        <v>34</v>
      </c>
      <c r="E234" t="s">
        <v>139</v>
      </c>
      <c r="F234" t="s">
        <v>36</v>
      </c>
      <c r="G234" t="s">
        <v>706</v>
      </c>
      <c r="H234">
        <v>500</v>
      </c>
      <c r="I234" s="8">
        <v>12500000</v>
      </c>
      <c r="J234" s="8">
        <v>2500000</v>
      </c>
      <c r="K234">
        <v>0</v>
      </c>
      <c r="L234" s="8">
        <v>400000</v>
      </c>
      <c r="M234" t="s">
        <v>38</v>
      </c>
      <c r="N234" s="11" t="str">
        <f>TEXT(tblSales[[#This Row],[Date]],"mmmm")</f>
        <v>June</v>
      </c>
      <c r="O234" s="11" t="str">
        <f>"Q"&amp;ROUNDUP(MONTH(tblSales[[#This Row],[Date]])/3,0)</f>
        <v>Q2</v>
      </c>
      <c r="P234" s="11">
        <f>YEAR(tblSales[[#This Row],[Date]])</f>
        <v>2024</v>
      </c>
      <c r="Q234" s="5">
        <f>tblSales[[#This Row],[Profit]]/tblSales[[#This Row],[Revenue]]</f>
        <v>0.2</v>
      </c>
      <c r="R234" s="8">
        <f>tblSales[[#This Row],[Revenue]]*1.1</f>
        <v>13750000</v>
      </c>
    </row>
    <row r="235" spans="1:18">
      <c r="A235" t="s">
        <v>707</v>
      </c>
      <c r="B235" s="7">
        <v>45460</v>
      </c>
      <c r="C235" t="s">
        <v>26</v>
      </c>
      <c r="D235" t="s">
        <v>27</v>
      </c>
      <c r="E235" t="s">
        <v>142</v>
      </c>
      <c r="F235" t="s">
        <v>43</v>
      </c>
      <c r="G235" t="s">
        <v>708</v>
      </c>
      <c r="H235">
        <v>20</v>
      </c>
      <c r="I235" s="8">
        <v>1600000</v>
      </c>
      <c r="J235" s="8">
        <v>240000</v>
      </c>
      <c r="K235">
        <v>25</v>
      </c>
      <c r="L235" s="8">
        <v>60000</v>
      </c>
      <c r="M235" t="s">
        <v>24</v>
      </c>
      <c r="N235" s="11" t="str">
        <f>TEXT(tblSales[[#This Row],[Date]],"mmmm")</f>
        <v>June</v>
      </c>
      <c r="O235" s="11" t="str">
        <f>"Q"&amp;ROUNDUP(MONTH(tblSales[[#This Row],[Date]])/3,0)</f>
        <v>Q2</v>
      </c>
      <c r="P235" s="11">
        <f>YEAR(tblSales[[#This Row],[Date]])</f>
        <v>2024</v>
      </c>
      <c r="Q235" s="5">
        <f>tblSales[[#This Row],[Profit]]/tblSales[[#This Row],[Revenue]]</f>
        <v>0.15</v>
      </c>
      <c r="R235" s="8">
        <f>tblSales[[#This Row],[Revenue]]*1.1</f>
        <v>1760000</v>
      </c>
    </row>
    <row r="236" spans="1:18">
      <c r="A236" t="s">
        <v>709</v>
      </c>
      <c r="B236" s="7">
        <v>45461</v>
      </c>
      <c r="C236" t="s">
        <v>40</v>
      </c>
      <c r="D236" t="s">
        <v>41</v>
      </c>
      <c r="E236" t="s">
        <v>145</v>
      </c>
      <c r="F236" t="s">
        <v>22</v>
      </c>
      <c r="G236" t="s">
        <v>710</v>
      </c>
      <c r="H236">
        <v>300</v>
      </c>
      <c r="I236" s="8">
        <v>4500000</v>
      </c>
      <c r="J236" s="8">
        <v>675000</v>
      </c>
      <c r="K236">
        <v>10</v>
      </c>
      <c r="L236" s="8">
        <v>80000</v>
      </c>
      <c r="M236" t="s">
        <v>31</v>
      </c>
      <c r="N236" s="11" t="str">
        <f>TEXT(tblSales[[#This Row],[Date]],"mmmm")</f>
        <v>June</v>
      </c>
      <c r="O236" s="11" t="str">
        <f>"Q"&amp;ROUNDUP(MONTH(tblSales[[#This Row],[Date]])/3,0)</f>
        <v>Q2</v>
      </c>
      <c r="P236" s="11">
        <f>YEAR(tblSales[[#This Row],[Date]])</f>
        <v>2024</v>
      </c>
      <c r="Q236" s="5">
        <f>tblSales[[#This Row],[Profit]]/tblSales[[#This Row],[Revenue]]</f>
        <v>0.15</v>
      </c>
      <c r="R236" s="8">
        <f>tblSales[[#This Row],[Revenue]]*1.1</f>
        <v>4950000</v>
      </c>
    </row>
    <row r="237" spans="1:18">
      <c r="A237" t="s">
        <v>711</v>
      </c>
      <c r="B237" s="7">
        <v>45461</v>
      </c>
      <c r="C237" t="s">
        <v>19</v>
      </c>
      <c r="D237" t="s">
        <v>20</v>
      </c>
      <c r="E237" t="s">
        <v>148</v>
      </c>
      <c r="F237" t="s">
        <v>29</v>
      </c>
      <c r="G237" t="s">
        <v>712</v>
      </c>
      <c r="H237">
        <v>400</v>
      </c>
      <c r="I237" s="8">
        <v>2400000</v>
      </c>
      <c r="J237" s="8">
        <v>480000</v>
      </c>
      <c r="K237">
        <v>0</v>
      </c>
      <c r="L237" s="8">
        <v>60000</v>
      </c>
      <c r="M237" t="s">
        <v>24</v>
      </c>
      <c r="N237" s="11" t="str">
        <f>TEXT(tblSales[[#This Row],[Date]],"mmmm")</f>
        <v>June</v>
      </c>
      <c r="O237" s="11" t="str">
        <f>"Q"&amp;ROUNDUP(MONTH(tblSales[[#This Row],[Date]])/3,0)</f>
        <v>Q2</v>
      </c>
      <c r="P237" s="11">
        <f>YEAR(tblSales[[#This Row],[Date]])</f>
        <v>2024</v>
      </c>
      <c r="Q237" s="5">
        <f>tblSales[[#This Row],[Profit]]/tblSales[[#This Row],[Revenue]]</f>
        <v>0.2</v>
      </c>
      <c r="R237" s="8">
        <f>tblSales[[#This Row],[Revenue]]*1.1</f>
        <v>2640000</v>
      </c>
    </row>
    <row r="238" spans="1:18">
      <c r="A238" t="s">
        <v>713</v>
      </c>
      <c r="B238" s="7">
        <v>45462</v>
      </c>
      <c r="C238" t="s">
        <v>33</v>
      </c>
      <c r="D238" t="s">
        <v>54</v>
      </c>
      <c r="E238" t="s">
        <v>151</v>
      </c>
      <c r="F238" t="s">
        <v>36</v>
      </c>
      <c r="G238" t="s">
        <v>714</v>
      </c>
      <c r="H238">
        <v>200</v>
      </c>
      <c r="I238" s="8">
        <v>5000000</v>
      </c>
      <c r="J238" s="8">
        <v>1000000</v>
      </c>
      <c r="K238">
        <v>0</v>
      </c>
      <c r="L238" s="8">
        <v>150000</v>
      </c>
      <c r="M238" t="s">
        <v>38</v>
      </c>
      <c r="N238" s="11" t="str">
        <f>TEXT(tblSales[[#This Row],[Date]],"mmmm")</f>
        <v>June</v>
      </c>
      <c r="O238" s="11" t="str">
        <f>"Q"&amp;ROUNDUP(MONTH(tblSales[[#This Row],[Date]])/3,0)</f>
        <v>Q2</v>
      </c>
      <c r="P238" s="11">
        <f>YEAR(tblSales[[#This Row],[Date]])</f>
        <v>2024</v>
      </c>
      <c r="Q238" s="5">
        <f>tblSales[[#This Row],[Profit]]/tblSales[[#This Row],[Revenue]]</f>
        <v>0.2</v>
      </c>
      <c r="R238" s="8">
        <f>tblSales[[#This Row],[Revenue]]*1.1</f>
        <v>5500000</v>
      </c>
    </row>
    <row r="239" spans="1:18">
      <c r="A239" t="s">
        <v>715</v>
      </c>
      <c r="B239" s="7">
        <v>45462</v>
      </c>
      <c r="C239" t="s">
        <v>26</v>
      </c>
      <c r="D239" t="s">
        <v>71</v>
      </c>
      <c r="E239" t="s">
        <v>154</v>
      </c>
      <c r="F239" t="s">
        <v>22</v>
      </c>
      <c r="G239" t="s">
        <v>716</v>
      </c>
      <c r="H239">
        <v>80</v>
      </c>
      <c r="I239" s="8">
        <v>800000</v>
      </c>
      <c r="J239" s="8">
        <v>160000</v>
      </c>
      <c r="K239">
        <v>0</v>
      </c>
      <c r="L239" s="8">
        <v>20000</v>
      </c>
      <c r="M239" t="s">
        <v>24</v>
      </c>
      <c r="N239" s="11" t="str">
        <f>TEXT(tblSales[[#This Row],[Date]],"mmmm")</f>
        <v>June</v>
      </c>
      <c r="O239" s="11" t="str">
        <f>"Q"&amp;ROUNDUP(MONTH(tblSales[[#This Row],[Date]])/3,0)</f>
        <v>Q2</v>
      </c>
      <c r="P239" s="11">
        <f>YEAR(tblSales[[#This Row],[Date]])</f>
        <v>2024</v>
      </c>
      <c r="Q239" s="5">
        <f>tblSales[[#This Row],[Profit]]/tblSales[[#This Row],[Revenue]]</f>
        <v>0.2</v>
      </c>
      <c r="R239" s="8">
        <f>tblSales[[#This Row],[Revenue]]*1.1</f>
        <v>880000</v>
      </c>
    </row>
    <row r="240" spans="1:18">
      <c r="A240" t="s">
        <v>717</v>
      </c>
      <c r="B240" s="7">
        <v>45463</v>
      </c>
      <c r="C240" t="s">
        <v>40</v>
      </c>
      <c r="D240" t="s">
        <v>93</v>
      </c>
      <c r="E240" t="s">
        <v>157</v>
      </c>
      <c r="F240" t="s">
        <v>43</v>
      </c>
      <c r="G240" t="s">
        <v>718</v>
      </c>
      <c r="H240">
        <v>15</v>
      </c>
      <c r="I240" s="8">
        <v>900000</v>
      </c>
      <c r="J240" s="8">
        <v>135000</v>
      </c>
      <c r="K240">
        <v>5</v>
      </c>
      <c r="L240" s="8">
        <v>30000</v>
      </c>
      <c r="M240" t="s">
        <v>31</v>
      </c>
      <c r="N240" s="11" t="str">
        <f>TEXT(tblSales[[#This Row],[Date]],"mmmm")</f>
        <v>June</v>
      </c>
      <c r="O240" s="11" t="str">
        <f>"Q"&amp;ROUNDUP(MONTH(tblSales[[#This Row],[Date]])/3,0)</f>
        <v>Q2</v>
      </c>
      <c r="P240" s="11">
        <f>YEAR(tblSales[[#This Row],[Date]])</f>
        <v>2024</v>
      </c>
      <c r="Q240" s="5">
        <f>tblSales[[#This Row],[Profit]]/tblSales[[#This Row],[Revenue]]</f>
        <v>0.15</v>
      </c>
      <c r="R240" s="8">
        <f>tblSales[[#This Row],[Revenue]]*1.1</f>
        <v>990000</v>
      </c>
    </row>
    <row r="241" spans="1:18">
      <c r="A241" t="s">
        <v>719</v>
      </c>
      <c r="B241" s="7">
        <v>45463</v>
      </c>
      <c r="C241" t="s">
        <v>33</v>
      </c>
      <c r="D241" t="s">
        <v>34</v>
      </c>
      <c r="E241" t="s">
        <v>160</v>
      </c>
      <c r="F241" t="s">
        <v>36</v>
      </c>
      <c r="G241" t="s">
        <v>720</v>
      </c>
      <c r="H241">
        <v>1000</v>
      </c>
      <c r="I241" s="8">
        <v>15000000</v>
      </c>
      <c r="J241" s="8">
        <v>3000000</v>
      </c>
      <c r="K241">
        <v>0</v>
      </c>
      <c r="L241" s="8">
        <v>500000</v>
      </c>
      <c r="M241" t="s">
        <v>38</v>
      </c>
      <c r="N241" s="11" t="str">
        <f>TEXT(tblSales[[#This Row],[Date]],"mmmm")</f>
        <v>June</v>
      </c>
      <c r="O241" s="11" t="str">
        <f>"Q"&amp;ROUNDUP(MONTH(tblSales[[#This Row],[Date]])/3,0)</f>
        <v>Q2</v>
      </c>
      <c r="P241" s="11">
        <f>YEAR(tblSales[[#This Row],[Date]])</f>
        <v>2024</v>
      </c>
      <c r="Q241" s="5">
        <f>tblSales[[#This Row],[Profit]]/tblSales[[#This Row],[Revenue]]</f>
        <v>0.2</v>
      </c>
      <c r="R241" s="8">
        <f>tblSales[[#This Row],[Revenue]]*1.1</f>
        <v>16500000</v>
      </c>
    </row>
    <row r="242" spans="1:18">
      <c r="A242" t="s">
        <v>721</v>
      </c>
      <c r="B242" s="7">
        <v>45464</v>
      </c>
      <c r="C242" t="s">
        <v>26</v>
      </c>
      <c r="D242" t="s">
        <v>27</v>
      </c>
      <c r="E242" t="s">
        <v>163</v>
      </c>
      <c r="F242" t="s">
        <v>29</v>
      </c>
      <c r="G242" t="s">
        <v>722</v>
      </c>
      <c r="H242">
        <v>40</v>
      </c>
      <c r="I242" s="8">
        <v>2800000</v>
      </c>
      <c r="J242" s="8">
        <v>560000</v>
      </c>
      <c r="K242">
        <v>0</v>
      </c>
      <c r="L242" s="8">
        <v>70000</v>
      </c>
      <c r="M242" t="s">
        <v>24</v>
      </c>
      <c r="N242" s="11" t="str">
        <f>TEXT(tblSales[[#This Row],[Date]],"mmmm")</f>
        <v>June</v>
      </c>
      <c r="O242" s="11" t="str">
        <f>"Q"&amp;ROUNDUP(MONTH(tblSales[[#This Row],[Date]])/3,0)</f>
        <v>Q2</v>
      </c>
      <c r="P242" s="11">
        <f>YEAR(tblSales[[#This Row],[Date]])</f>
        <v>2024</v>
      </c>
      <c r="Q242" s="5">
        <f>tblSales[[#This Row],[Profit]]/tblSales[[#This Row],[Revenue]]</f>
        <v>0.2</v>
      </c>
      <c r="R242" s="8">
        <f>tblSales[[#This Row],[Revenue]]*1.1</f>
        <v>3080000</v>
      </c>
    </row>
    <row r="243" spans="1:18">
      <c r="A243" t="s">
        <v>723</v>
      </c>
      <c r="B243" s="7">
        <v>45464</v>
      </c>
      <c r="C243" t="s">
        <v>19</v>
      </c>
      <c r="D243" t="s">
        <v>20</v>
      </c>
      <c r="E243" t="s">
        <v>166</v>
      </c>
      <c r="F243" t="s">
        <v>22</v>
      </c>
      <c r="G243" t="s">
        <v>724</v>
      </c>
      <c r="H243">
        <v>12</v>
      </c>
      <c r="I243" s="8">
        <v>8400000</v>
      </c>
      <c r="J243" s="8">
        <v>1260000</v>
      </c>
      <c r="K243">
        <v>5</v>
      </c>
      <c r="L243" s="8">
        <v>200000</v>
      </c>
      <c r="M243" t="s">
        <v>31</v>
      </c>
      <c r="N243" s="11" t="str">
        <f>TEXT(tblSales[[#This Row],[Date]],"mmmm")</f>
        <v>June</v>
      </c>
      <c r="O243" s="11" t="str">
        <f>"Q"&amp;ROUNDUP(MONTH(tblSales[[#This Row],[Date]])/3,0)</f>
        <v>Q2</v>
      </c>
      <c r="P243" s="11">
        <f>YEAR(tblSales[[#This Row],[Date]])</f>
        <v>2024</v>
      </c>
      <c r="Q243" s="5">
        <f>tblSales[[#This Row],[Profit]]/tblSales[[#This Row],[Revenue]]</f>
        <v>0.15</v>
      </c>
      <c r="R243" s="8">
        <f>tblSales[[#This Row],[Revenue]]*1.1</f>
        <v>9240000</v>
      </c>
    </row>
    <row r="244" spans="1:18">
      <c r="A244" t="s">
        <v>725</v>
      </c>
      <c r="B244" s="7">
        <v>45465</v>
      </c>
      <c r="C244" t="s">
        <v>33</v>
      </c>
      <c r="D244" t="s">
        <v>54</v>
      </c>
      <c r="E244" t="s">
        <v>169</v>
      </c>
      <c r="F244" t="s">
        <v>36</v>
      </c>
      <c r="G244" t="s">
        <v>726</v>
      </c>
      <c r="H244">
        <v>250</v>
      </c>
      <c r="I244" s="8">
        <v>1250000</v>
      </c>
      <c r="J244" s="8">
        <v>250000</v>
      </c>
      <c r="K244">
        <v>0</v>
      </c>
      <c r="L244" s="8">
        <v>50000</v>
      </c>
      <c r="M244" t="s">
        <v>38</v>
      </c>
      <c r="N244" s="11" t="str">
        <f>TEXT(tblSales[[#This Row],[Date]],"mmmm")</f>
        <v>June</v>
      </c>
      <c r="O244" s="11" t="str">
        <f>"Q"&amp;ROUNDUP(MONTH(tblSales[[#This Row],[Date]])/3,0)</f>
        <v>Q2</v>
      </c>
      <c r="P244" s="11">
        <f>YEAR(tblSales[[#This Row],[Date]])</f>
        <v>2024</v>
      </c>
      <c r="Q244" s="5">
        <f>tblSales[[#This Row],[Profit]]/tblSales[[#This Row],[Revenue]]</f>
        <v>0.2</v>
      </c>
      <c r="R244" s="8">
        <f>tblSales[[#This Row],[Revenue]]*1.1</f>
        <v>1375000</v>
      </c>
    </row>
    <row r="245" spans="1:18">
      <c r="A245" t="s">
        <v>727</v>
      </c>
      <c r="B245" s="7">
        <v>45465</v>
      </c>
      <c r="C245" t="s">
        <v>40</v>
      </c>
      <c r="D245" t="s">
        <v>61</v>
      </c>
      <c r="E245" t="s">
        <v>172</v>
      </c>
      <c r="F245" t="s">
        <v>43</v>
      </c>
      <c r="G245" t="s">
        <v>728</v>
      </c>
      <c r="H245">
        <v>30</v>
      </c>
      <c r="I245" s="8">
        <v>600000</v>
      </c>
      <c r="J245" s="8">
        <v>90000</v>
      </c>
      <c r="K245">
        <v>15</v>
      </c>
      <c r="L245" s="8">
        <v>20000</v>
      </c>
      <c r="M245" t="s">
        <v>24</v>
      </c>
      <c r="N245" s="11" t="str">
        <f>TEXT(tblSales[[#This Row],[Date]],"mmmm")</f>
        <v>June</v>
      </c>
      <c r="O245" s="11" t="str">
        <f>"Q"&amp;ROUNDUP(MONTH(tblSales[[#This Row],[Date]])/3,0)</f>
        <v>Q2</v>
      </c>
      <c r="P245" s="11">
        <f>YEAR(tblSales[[#This Row],[Date]])</f>
        <v>2024</v>
      </c>
      <c r="Q245" s="5">
        <f>tblSales[[#This Row],[Profit]]/tblSales[[#This Row],[Revenue]]</f>
        <v>0.15</v>
      </c>
      <c r="R245" s="8">
        <f>tblSales[[#This Row],[Revenue]]*1.1</f>
        <v>660000</v>
      </c>
    </row>
    <row r="246" spans="1:18">
      <c r="A246" t="s">
        <v>729</v>
      </c>
      <c r="B246" s="7">
        <v>45466</v>
      </c>
      <c r="C246" t="s">
        <v>26</v>
      </c>
      <c r="D246" t="s">
        <v>46</v>
      </c>
      <c r="E246" t="s">
        <v>175</v>
      </c>
      <c r="F246" t="s">
        <v>22</v>
      </c>
      <c r="G246" t="s">
        <v>730</v>
      </c>
      <c r="H246">
        <v>10</v>
      </c>
      <c r="I246" s="8">
        <v>18000000</v>
      </c>
      <c r="J246" s="8">
        <v>2700000</v>
      </c>
      <c r="K246">
        <v>0</v>
      </c>
      <c r="L246" s="8">
        <v>300000</v>
      </c>
      <c r="M246" t="s">
        <v>24</v>
      </c>
      <c r="N246" s="11" t="str">
        <f>TEXT(tblSales[[#This Row],[Date]],"mmmm")</f>
        <v>June</v>
      </c>
      <c r="O246" s="11" t="str">
        <f>"Q"&amp;ROUNDUP(MONTH(tblSales[[#This Row],[Date]])/3,0)</f>
        <v>Q2</v>
      </c>
      <c r="P246" s="11">
        <f>YEAR(tblSales[[#This Row],[Date]])</f>
        <v>2024</v>
      </c>
      <c r="Q246" s="5">
        <f>tblSales[[#This Row],[Profit]]/tblSales[[#This Row],[Revenue]]</f>
        <v>0.15</v>
      </c>
      <c r="R246" s="8">
        <f>tblSales[[#This Row],[Revenue]]*1.1</f>
        <v>19800000</v>
      </c>
    </row>
    <row r="247" spans="1:18">
      <c r="A247" t="s">
        <v>731</v>
      </c>
      <c r="B247" s="7">
        <v>45466</v>
      </c>
      <c r="C247" t="s">
        <v>19</v>
      </c>
      <c r="D247" t="s">
        <v>100</v>
      </c>
      <c r="E247" t="s">
        <v>178</v>
      </c>
      <c r="F247" t="s">
        <v>29</v>
      </c>
      <c r="G247" t="s">
        <v>732</v>
      </c>
      <c r="H247">
        <v>100</v>
      </c>
      <c r="I247" s="8">
        <v>8000000</v>
      </c>
      <c r="J247" s="8">
        <v>1600000</v>
      </c>
      <c r="K247">
        <v>0</v>
      </c>
      <c r="L247" s="8">
        <v>150000</v>
      </c>
      <c r="M247" t="s">
        <v>31</v>
      </c>
      <c r="N247" s="11" t="str">
        <f>TEXT(tblSales[[#This Row],[Date]],"mmmm")</f>
        <v>June</v>
      </c>
      <c r="O247" s="11" t="str">
        <f>"Q"&amp;ROUNDUP(MONTH(tblSales[[#This Row],[Date]])/3,0)</f>
        <v>Q2</v>
      </c>
      <c r="P247" s="11">
        <f>YEAR(tblSales[[#This Row],[Date]])</f>
        <v>2024</v>
      </c>
      <c r="Q247" s="5">
        <f>tblSales[[#This Row],[Profit]]/tblSales[[#This Row],[Revenue]]</f>
        <v>0.2</v>
      </c>
      <c r="R247" s="8">
        <f>tblSales[[#This Row],[Revenue]]*1.1</f>
        <v>8800000</v>
      </c>
    </row>
    <row r="248" spans="1:18">
      <c r="A248" t="s">
        <v>733</v>
      </c>
      <c r="B248" s="7">
        <v>45467</v>
      </c>
      <c r="C248" t="s">
        <v>33</v>
      </c>
      <c r="D248" t="s">
        <v>34</v>
      </c>
      <c r="E248" t="s">
        <v>181</v>
      </c>
      <c r="F248" t="s">
        <v>36</v>
      </c>
      <c r="G248" t="s">
        <v>734</v>
      </c>
      <c r="H248">
        <v>500</v>
      </c>
      <c r="I248" s="8">
        <v>1500000</v>
      </c>
      <c r="J248" s="8">
        <v>300000</v>
      </c>
      <c r="K248">
        <v>0</v>
      </c>
      <c r="L248" s="8">
        <v>80000</v>
      </c>
      <c r="M248" t="s">
        <v>38</v>
      </c>
      <c r="N248" s="11" t="str">
        <f>TEXT(tblSales[[#This Row],[Date]],"mmmm")</f>
        <v>June</v>
      </c>
      <c r="O248" s="11" t="str">
        <f>"Q"&amp;ROUNDUP(MONTH(tblSales[[#This Row],[Date]])/3,0)</f>
        <v>Q2</v>
      </c>
      <c r="P248" s="11">
        <f>YEAR(tblSales[[#This Row],[Date]])</f>
        <v>2024</v>
      </c>
      <c r="Q248" s="5">
        <f>tblSales[[#This Row],[Profit]]/tblSales[[#This Row],[Revenue]]</f>
        <v>0.2</v>
      </c>
      <c r="R248" s="8">
        <f>tblSales[[#This Row],[Revenue]]*1.1</f>
        <v>1650000</v>
      </c>
    </row>
    <row r="249" spans="1:18">
      <c r="A249" t="s">
        <v>735</v>
      </c>
      <c r="B249" s="7">
        <v>45467</v>
      </c>
      <c r="C249" t="s">
        <v>26</v>
      </c>
      <c r="D249" t="s">
        <v>27</v>
      </c>
      <c r="E249" t="s">
        <v>184</v>
      </c>
      <c r="F249" t="s">
        <v>22</v>
      </c>
      <c r="G249" t="s">
        <v>736</v>
      </c>
      <c r="H249">
        <v>8</v>
      </c>
      <c r="I249" s="8">
        <v>2400000</v>
      </c>
      <c r="J249" s="8">
        <v>360000</v>
      </c>
      <c r="K249">
        <v>10</v>
      </c>
      <c r="L249" s="8">
        <v>60000</v>
      </c>
      <c r="M249" t="s">
        <v>24</v>
      </c>
      <c r="N249" s="11" t="str">
        <f>TEXT(tblSales[[#This Row],[Date]],"mmmm")</f>
        <v>June</v>
      </c>
      <c r="O249" s="11" t="str">
        <f>"Q"&amp;ROUNDUP(MONTH(tblSales[[#This Row],[Date]])/3,0)</f>
        <v>Q2</v>
      </c>
      <c r="P249" s="11">
        <f>YEAR(tblSales[[#This Row],[Date]])</f>
        <v>2024</v>
      </c>
      <c r="Q249" s="5">
        <f>tblSales[[#This Row],[Profit]]/tblSales[[#This Row],[Revenue]]</f>
        <v>0.15</v>
      </c>
      <c r="R249" s="8">
        <f>tblSales[[#This Row],[Revenue]]*1.1</f>
        <v>2640000</v>
      </c>
    </row>
    <row r="250" spans="1:18">
      <c r="A250" t="s">
        <v>737</v>
      </c>
      <c r="B250" s="7">
        <v>45468</v>
      </c>
      <c r="C250" t="s">
        <v>40</v>
      </c>
      <c r="D250" t="s">
        <v>41</v>
      </c>
      <c r="E250" t="s">
        <v>187</v>
      </c>
      <c r="F250" t="s">
        <v>43</v>
      </c>
      <c r="G250" t="s">
        <v>738</v>
      </c>
      <c r="H250">
        <v>45</v>
      </c>
      <c r="I250" s="8">
        <v>1350000</v>
      </c>
      <c r="J250" s="8">
        <v>202500</v>
      </c>
      <c r="K250">
        <v>5</v>
      </c>
      <c r="L250" s="8">
        <v>40000</v>
      </c>
      <c r="M250" t="s">
        <v>31</v>
      </c>
      <c r="N250" s="11" t="str">
        <f>TEXT(tblSales[[#This Row],[Date]],"mmmm")</f>
        <v>June</v>
      </c>
      <c r="O250" s="11" t="str">
        <f>"Q"&amp;ROUNDUP(MONTH(tblSales[[#This Row],[Date]])/3,0)</f>
        <v>Q2</v>
      </c>
      <c r="P250" s="11">
        <f>YEAR(tblSales[[#This Row],[Date]])</f>
        <v>2024</v>
      </c>
      <c r="Q250" s="5">
        <f>tblSales[[#This Row],[Profit]]/tblSales[[#This Row],[Revenue]]</f>
        <v>0.15</v>
      </c>
      <c r="R250" s="8">
        <f>tblSales[[#This Row],[Revenue]]*1.1</f>
        <v>1485000</v>
      </c>
    </row>
    <row r="251" spans="1:18">
      <c r="A251" t="s">
        <v>739</v>
      </c>
      <c r="B251" s="7">
        <v>45468</v>
      </c>
      <c r="C251" t="s">
        <v>19</v>
      </c>
      <c r="D251" t="s">
        <v>50</v>
      </c>
      <c r="E251" t="s">
        <v>190</v>
      </c>
      <c r="F251" t="s">
        <v>29</v>
      </c>
      <c r="G251" t="s">
        <v>740</v>
      </c>
      <c r="H251">
        <v>150</v>
      </c>
      <c r="I251" s="8">
        <v>450000</v>
      </c>
      <c r="J251" s="8">
        <v>90000</v>
      </c>
      <c r="K251">
        <v>0</v>
      </c>
      <c r="L251" s="8">
        <v>15000</v>
      </c>
      <c r="M251" t="s">
        <v>24</v>
      </c>
      <c r="N251" s="11" t="str">
        <f>TEXT(tblSales[[#This Row],[Date]],"mmmm")</f>
        <v>June</v>
      </c>
      <c r="O251" s="11" t="str">
        <f>"Q"&amp;ROUNDUP(MONTH(tblSales[[#This Row],[Date]])/3,0)</f>
        <v>Q2</v>
      </c>
      <c r="P251" s="11">
        <f>YEAR(tblSales[[#This Row],[Date]])</f>
        <v>2024</v>
      </c>
      <c r="Q251" s="5">
        <f>tblSales[[#This Row],[Profit]]/tblSales[[#This Row],[Revenue]]</f>
        <v>0.2</v>
      </c>
      <c r="R251" s="8">
        <f>tblSales[[#This Row],[Revenue]]*1.1</f>
        <v>495000</v>
      </c>
    </row>
    <row r="252" spans="1:18">
      <c r="A252" t="s">
        <v>741</v>
      </c>
      <c r="B252" s="7">
        <v>45469</v>
      </c>
      <c r="C252" t="s">
        <v>33</v>
      </c>
      <c r="D252" t="s">
        <v>54</v>
      </c>
      <c r="E252" t="s">
        <v>193</v>
      </c>
      <c r="F252" t="s">
        <v>36</v>
      </c>
      <c r="G252" t="s">
        <v>742</v>
      </c>
      <c r="H252">
        <v>300</v>
      </c>
      <c r="I252" s="8">
        <v>2400000</v>
      </c>
      <c r="J252" s="8">
        <v>480000</v>
      </c>
      <c r="K252">
        <v>0</v>
      </c>
      <c r="L252" s="8">
        <v>100000</v>
      </c>
      <c r="M252" t="s">
        <v>38</v>
      </c>
      <c r="N252" s="11" t="str">
        <f>TEXT(tblSales[[#This Row],[Date]],"mmmm")</f>
        <v>June</v>
      </c>
      <c r="O252" s="11" t="str">
        <f>"Q"&amp;ROUNDUP(MONTH(tblSales[[#This Row],[Date]])/3,0)</f>
        <v>Q2</v>
      </c>
      <c r="P252" s="11">
        <f>YEAR(tblSales[[#This Row],[Date]])</f>
        <v>2024</v>
      </c>
      <c r="Q252" s="5">
        <f>tblSales[[#This Row],[Profit]]/tblSales[[#This Row],[Revenue]]</f>
        <v>0.2</v>
      </c>
      <c r="R252" s="8">
        <f>tblSales[[#This Row],[Revenue]]*1.1</f>
        <v>2640000</v>
      </c>
    </row>
    <row r="253" spans="1:18">
      <c r="A253" t="s">
        <v>743</v>
      </c>
      <c r="B253" s="7">
        <v>45469</v>
      </c>
      <c r="C253" t="s">
        <v>26</v>
      </c>
      <c r="D253" t="s">
        <v>71</v>
      </c>
      <c r="E253" t="s">
        <v>196</v>
      </c>
      <c r="F253" t="s">
        <v>22</v>
      </c>
      <c r="G253" t="s">
        <v>744</v>
      </c>
      <c r="H253">
        <v>5</v>
      </c>
      <c r="I253" s="8">
        <v>1500000</v>
      </c>
      <c r="J253" s="8">
        <v>225000</v>
      </c>
      <c r="K253">
        <v>0</v>
      </c>
      <c r="L253" s="8">
        <v>30000</v>
      </c>
      <c r="M253" t="s">
        <v>24</v>
      </c>
      <c r="N253" s="11" t="str">
        <f>TEXT(tblSales[[#This Row],[Date]],"mmmm")</f>
        <v>June</v>
      </c>
      <c r="O253" s="11" t="str">
        <f>"Q"&amp;ROUNDUP(MONTH(tblSales[[#This Row],[Date]])/3,0)</f>
        <v>Q2</v>
      </c>
      <c r="P253" s="11">
        <f>YEAR(tblSales[[#This Row],[Date]])</f>
        <v>2024</v>
      </c>
      <c r="Q253" s="5">
        <f>tblSales[[#This Row],[Profit]]/tblSales[[#This Row],[Revenue]]</f>
        <v>0.15</v>
      </c>
      <c r="R253" s="8">
        <f>tblSales[[#This Row],[Revenue]]*1.1</f>
        <v>1650000</v>
      </c>
    </row>
    <row r="254" spans="1:18">
      <c r="A254" t="s">
        <v>745</v>
      </c>
      <c r="B254" s="7">
        <v>45470</v>
      </c>
      <c r="C254" t="s">
        <v>40</v>
      </c>
      <c r="D254" t="s">
        <v>126</v>
      </c>
      <c r="E254" t="s">
        <v>199</v>
      </c>
      <c r="F254" t="s">
        <v>29</v>
      </c>
      <c r="G254" t="s">
        <v>746</v>
      </c>
      <c r="H254">
        <v>400</v>
      </c>
      <c r="I254" s="8">
        <v>1200000</v>
      </c>
      <c r="J254" s="8">
        <v>240000</v>
      </c>
      <c r="K254">
        <v>0</v>
      </c>
      <c r="L254" s="8">
        <v>40000</v>
      </c>
      <c r="M254" t="s">
        <v>31</v>
      </c>
      <c r="N254" s="11" t="str">
        <f>TEXT(tblSales[[#This Row],[Date]],"mmmm")</f>
        <v>June</v>
      </c>
      <c r="O254" s="11" t="str">
        <f>"Q"&amp;ROUNDUP(MONTH(tblSales[[#This Row],[Date]])/3,0)</f>
        <v>Q2</v>
      </c>
      <c r="P254" s="11">
        <f>YEAR(tblSales[[#This Row],[Date]])</f>
        <v>2024</v>
      </c>
      <c r="Q254" s="5">
        <f>tblSales[[#This Row],[Profit]]/tblSales[[#This Row],[Revenue]]</f>
        <v>0.2</v>
      </c>
      <c r="R254" s="8">
        <f>tblSales[[#This Row],[Revenue]]*1.1</f>
        <v>1320000</v>
      </c>
    </row>
    <row r="255" spans="1:18">
      <c r="A255" t="s">
        <v>747</v>
      </c>
      <c r="B255" s="7">
        <v>45470</v>
      </c>
      <c r="C255" t="s">
        <v>19</v>
      </c>
      <c r="D255" t="s">
        <v>20</v>
      </c>
      <c r="E255" t="s">
        <v>202</v>
      </c>
      <c r="F255" t="s">
        <v>43</v>
      </c>
      <c r="G255" t="s">
        <v>748</v>
      </c>
      <c r="H255">
        <v>25</v>
      </c>
      <c r="I255" s="8">
        <v>625000</v>
      </c>
      <c r="J255" s="8">
        <v>93750</v>
      </c>
      <c r="K255">
        <v>10</v>
      </c>
      <c r="L255" s="8">
        <v>20000</v>
      </c>
      <c r="M255" t="s">
        <v>24</v>
      </c>
      <c r="N255" s="11" t="str">
        <f>TEXT(tblSales[[#This Row],[Date]],"mmmm")</f>
        <v>June</v>
      </c>
      <c r="O255" s="11" t="str">
        <f>"Q"&amp;ROUNDUP(MONTH(tblSales[[#This Row],[Date]])/3,0)</f>
        <v>Q2</v>
      </c>
      <c r="P255" s="11">
        <f>YEAR(tblSales[[#This Row],[Date]])</f>
        <v>2024</v>
      </c>
      <c r="Q255" s="5">
        <f>tblSales[[#This Row],[Profit]]/tblSales[[#This Row],[Revenue]]</f>
        <v>0.15</v>
      </c>
      <c r="R255" s="8">
        <f>tblSales[[#This Row],[Revenue]]*1.1</f>
        <v>687500</v>
      </c>
    </row>
    <row r="256" spans="1:18">
      <c r="A256" t="s">
        <v>749</v>
      </c>
      <c r="B256" s="7">
        <v>45471</v>
      </c>
      <c r="C256" t="s">
        <v>33</v>
      </c>
      <c r="D256" t="s">
        <v>34</v>
      </c>
      <c r="E256" t="s">
        <v>204</v>
      </c>
      <c r="F256" t="s">
        <v>36</v>
      </c>
      <c r="G256" t="s">
        <v>750</v>
      </c>
      <c r="H256">
        <v>200</v>
      </c>
      <c r="I256" s="8">
        <v>5000000</v>
      </c>
      <c r="J256" s="8">
        <v>1000000</v>
      </c>
      <c r="K256">
        <v>0</v>
      </c>
      <c r="L256" s="8">
        <v>120000</v>
      </c>
      <c r="M256" t="s">
        <v>38</v>
      </c>
      <c r="N256" s="11" t="str">
        <f>TEXT(tblSales[[#This Row],[Date]],"mmmm")</f>
        <v>June</v>
      </c>
      <c r="O256" s="11" t="str">
        <f>"Q"&amp;ROUNDUP(MONTH(tblSales[[#This Row],[Date]])/3,0)</f>
        <v>Q2</v>
      </c>
      <c r="P256" s="11">
        <f>YEAR(tblSales[[#This Row],[Date]])</f>
        <v>2024</v>
      </c>
      <c r="Q256" s="5">
        <f>tblSales[[#This Row],[Profit]]/tblSales[[#This Row],[Revenue]]</f>
        <v>0.2</v>
      </c>
      <c r="R256" s="8">
        <f>tblSales[[#This Row],[Revenue]]*1.1</f>
        <v>5500000</v>
      </c>
    </row>
    <row r="257" spans="1:18">
      <c r="A257" t="s">
        <v>751</v>
      </c>
      <c r="B257" s="7">
        <v>45471</v>
      </c>
      <c r="C257" t="s">
        <v>26</v>
      </c>
      <c r="D257" t="s">
        <v>27</v>
      </c>
      <c r="E257" t="s">
        <v>207</v>
      </c>
      <c r="F257" t="s">
        <v>22</v>
      </c>
      <c r="G257" t="s">
        <v>752</v>
      </c>
      <c r="H257">
        <v>50</v>
      </c>
      <c r="I257" s="8">
        <v>1250000</v>
      </c>
      <c r="J257" s="8">
        <v>250000</v>
      </c>
      <c r="K257">
        <v>0</v>
      </c>
      <c r="L257" s="8">
        <v>30000</v>
      </c>
      <c r="M257" t="s">
        <v>24</v>
      </c>
      <c r="N257" s="11" t="str">
        <f>TEXT(tblSales[[#This Row],[Date]],"mmmm")</f>
        <v>June</v>
      </c>
      <c r="O257" s="11" t="str">
        <f>"Q"&amp;ROUNDUP(MONTH(tblSales[[#This Row],[Date]])/3,0)</f>
        <v>Q2</v>
      </c>
      <c r="P257" s="11">
        <f>YEAR(tblSales[[#This Row],[Date]])</f>
        <v>2024</v>
      </c>
      <c r="Q257" s="5">
        <f>tblSales[[#This Row],[Profit]]/tblSales[[#This Row],[Revenue]]</f>
        <v>0.2</v>
      </c>
      <c r="R257" s="8">
        <f>tblSales[[#This Row],[Revenue]]*1.1</f>
        <v>1375000</v>
      </c>
    </row>
    <row r="258" spans="1:18">
      <c r="A258" t="s">
        <v>753</v>
      </c>
      <c r="B258" s="7">
        <v>45472</v>
      </c>
      <c r="C258" t="s">
        <v>40</v>
      </c>
      <c r="D258" t="s">
        <v>41</v>
      </c>
      <c r="E258" t="s">
        <v>210</v>
      </c>
      <c r="F258" t="s">
        <v>29</v>
      </c>
      <c r="G258" t="s">
        <v>754</v>
      </c>
      <c r="H258">
        <v>70</v>
      </c>
      <c r="I258" s="8">
        <v>1050000</v>
      </c>
      <c r="J258" s="8">
        <v>210000</v>
      </c>
      <c r="K258">
        <v>0</v>
      </c>
      <c r="L258" s="8">
        <v>25000</v>
      </c>
      <c r="M258" t="s">
        <v>31</v>
      </c>
      <c r="N258" s="11" t="str">
        <f>TEXT(tblSales[[#This Row],[Date]],"mmmm")</f>
        <v>June</v>
      </c>
      <c r="O258" s="11" t="str">
        <f>"Q"&amp;ROUNDUP(MONTH(tblSales[[#This Row],[Date]])/3,0)</f>
        <v>Q2</v>
      </c>
      <c r="P258" s="11">
        <f>YEAR(tblSales[[#This Row],[Date]])</f>
        <v>2024</v>
      </c>
      <c r="Q258" s="5">
        <f>tblSales[[#This Row],[Profit]]/tblSales[[#This Row],[Revenue]]</f>
        <v>0.2</v>
      </c>
      <c r="R258" s="8">
        <f>tblSales[[#This Row],[Revenue]]*1.1</f>
        <v>1155000</v>
      </c>
    </row>
    <row r="259" spans="1:18">
      <c r="A259" t="s">
        <v>755</v>
      </c>
      <c r="B259" s="7">
        <v>45472</v>
      </c>
      <c r="C259" t="s">
        <v>19</v>
      </c>
      <c r="D259" t="s">
        <v>113</v>
      </c>
      <c r="E259" t="s">
        <v>213</v>
      </c>
      <c r="F259" t="s">
        <v>43</v>
      </c>
      <c r="G259" t="s">
        <v>756</v>
      </c>
      <c r="H259">
        <v>12</v>
      </c>
      <c r="I259" s="8">
        <v>420000</v>
      </c>
      <c r="J259" s="8">
        <v>63000</v>
      </c>
      <c r="K259">
        <v>10</v>
      </c>
      <c r="L259" s="8">
        <v>15000</v>
      </c>
      <c r="M259" t="s">
        <v>24</v>
      </c>
      <c r="N259" s="11" t="str">
        <f>TEXT(tblSales[[#This Row],[Date]],"mmmm")</f>
        <v>June</v>
      </c>
      <c r="O259" s="11" t="str">
        <f>"Q"&amp;ROUNDUP(MONTH(tblSales[[#This Row],[Date]])/3,0)</f>
        <v>Q2</v>
      </c>
      <c r="P259" s="11">
        <f>YEAR(tblSales[[#This Row],[Date]])</f>
        <v>2024</v>
      </c>
      <c r="Q259" s="5">
        <f>tblSales[[#This Row],[Profit]]/tblSales[[#This Row],[Revenue]]</f>
        <v>0.15</v>
      </c>
      <c r="R259" s="8">
        <f>tblSales[[#This Row],[Revenue]]*1.1</f>
        <v>462000</v>
      </c>
    </row>
    <row r="260" spans="1:18">
      <c r="A260" t="s">
        <v>757</v>
      </c>
      <c r="B260" s="7">
        <v>45473</v>
      </c>
      <c r="C260" t="s">
        <v>33</v>
      </c>
      <c r="D260" t="s">
        <v>54</v>
      </c>
      <c r="E260" t="s">
        <v>216</v>
      </c>
      <c r="F260" t="s">
        <v>36</v>
      </c>
      <c r="G260" t="s">
        <v>758</v>
      </c>
      <c r="H260">
        <v>300</v>
      </c>
      <c r="I260" s="8">
        <v>4500000</v>
      </c>
      <c r="J260" s="8">
        <v>900000</v>
      </c>
      <c r="K260">
        <v>0</v>
      </c>
      <c r="L260" s="8">
        <v>150000</v>
      </c>
      <c r="M260" t="s">
        <v>38</v>
      </c>
      <c r="N260" s="11" t="str">
        <f>TEXT(tblSales[[#This Row],[Date]],"mmmm")</f>
        <v>June</v>
      </c>
      <c r="O260" s="11" t="str">
        <f>"Q"&amp;ROUNDUP(MONTH(tblSales[[#This Row],[Date]])/3,0)</f>
        <v>Q2</v>
      </c>
      <c r="P260" s="11">
        <f>YEAR(tblSales[[#This Row],[Date]])</f>
        <v>2024</v>
      </c>
      <c r="Q260" s="5">
        <f>tblSales[[#This Row],[Profit]]/tblSales[[#This Row],[Revenue]]</f>
        <v>0.2</v>
      </c>
      <c r="R260" s="8">
        <f>tblSales[[#This Row],[Revenue]]*1.1</f>
        <v>4950000</v>
      </c>
    </row>
    <row r="261" spans="1:18">
      <c r="A261" t="s">
        <v>759</v>
      </c>
      <c r="B261" s="7">
        <v>45473</v>
      </c>
      <c r="C261" t="s">
        <v>26</v>
      </c>
      <c r="D261" t="s">
        <v>46</v>
      </c>
      <c r="E261" t="s">
        <v>219</v>
      </c>
      <c r="F261" t="s">
        <v>22</v>
      </c>
      <c r="G261" t="s">
        <v>760</v>
      </c>
      <c r="H261">
        <v>100</v>
      </c>
      <c r="I261" s="8">
        <v>1500000</v>
      </c>
      <c r="J261" s="8">
        <v>300000</v>
      </c>
      <c r="K261">
        <v>0</v>
      </c>
      <c r="L261" s="8">
        <v>40000</v>
      </c>
      <c r="M261" t="s">
        <v>24</v>
      </c>
      <c r="N261" s="11" t="str">
        <f>TEXT(tblSales[[#This Row],[Date]],"mmmm")</f>
        <v>June</v>
      </c>
      <c r="O261" s="11" t="str">
        <f>"Q"&amp;ROUNDUP(MONTH(tblSales[[#This Row],[Date]])/3,0)</f>
        <v>Q2</v>
      </c>
      <c r="P261" s="11">
        <f>YEAR(tblSales[[#This Row],[Date]])</f>
        <v>2024</v>
      </c>
      <c r="Q261" s="5">
        <f>tblSales[[#This Row],[Profit]]/tblSales[[#This Row],[Revenue]]</f>
        <v>0.2</v>
      </c>
      <c r="R261" s="8">
        <f>tblSales[[#This Row],[Revenue]]*1.1</f>
        <v>1650000</v>
      </c>
    </row>
    <row r="262" spans="1:18">
      <c r="A262" t="s">
        <v>761</v>
      </c>
      <c r="B262" s="7">
        <v>45474</v>
      </c>
      <c r="C262" t="s">
        <v>19</v>
      </c>
      <c r="D262" t="s">
        <v>20</v>
      </c>
      <c r="E262" t="s">
        <v>222</v>
      </c>
      <c r="F262" t="s">
        <v>29</v>
      </c>
      <c r="G262" t="s">
        <v>762</v>
      </c>
      <c r="H262">
        <v>20</v>
      </c>
      <c r="I262" s="8">
        <v>600000</v>
      </c>
      <c r="J262" s="8">
        <v>120000</v>
      </c>
      <c r="K262">
        <v>0</v>
      </c>
      <c r="L262" s="8">
        <v>10000</v>
      </c>
      <c r="M262" t="s">
        <v>31</v>
      </c>
      <c r="N262" s="11" t="str">
        <f>TEXT(tblSales[[#This Row],[Date]],"mmmm")</f>
        <v>July</v>
      </c>
      <c r="O262" s="11" t="str">
        <f>"Q"&amp;ROUNDUP(MONTH(tblSales[[#This Row],[Date]])/3,0)</f>
        <v>Q3</v>
      </c>
      <c r="P262" s="11">
        <f>YEAR(tblSales[[#This Row],[Date]])</f>
        <v>2024</v>
      </c>
      <c r="Q262" s="5">
        <f>tblSales[[#This Row],[Profit]]/tblSales[[#This Row],[Revenue]]</f>
        <v>0.2</v>
      </c>
      <c r="R262" s="8">
        <f>tblSales[[#This Row],[Revenue]]*1.1</f>
        <v>660000</v>
      </c>
    </row>
    <row r="263" spans="1:18">
      <c r="A263" t="s">
        <v>763</v>
      </c>
      <c r="B263" s="7">
        <v>45474</v>
      </c>
      <c r="C263" t="s">
        <v>40</v>
      </c>
      <c r="D263" t="s">
        <v>93</v>
      </c>
      <c r="E263" t="s">
        <v>225</v>
      </c>
      <c r="F263" t="s">
        <v>43</v>
      </c>
      <c r="G263" t="s">
        <v>764</v>
      </c>
      <c r="H263">
        <v>40</v>
      </c>
      <c r="I263" s="8">
        <v>600000</v>
      </c>
      <c r="J263" s="8">
        <v>90000</v>
      </c>
      <c r="K263">
        <v>5</v>
      </c>
      <c r="L263" s="8">
        <v>15000</v>
      </c>
      <c r="M263" t="s">
        <v>24</v>
      </c>
      <c r="N263" s="11" t="str">
        <f>TEXT(tblSales[[#This Row],[Date]],"mmmm")</f>
        <v>July</v>
      </c>
      <c r="O263" s="11" t="str">
        <f>"Q"&amp;ROUNDUP(MONTH(tblSales[[#This Row],[Date]])/3,0)</f>
        <v>Q3</v>
      </c>
      <c r="P263" s="11">
        <f>YEAR(tblSales[[#This Row],[Date]])</f>
        <v>2024</v>
      </c>
      <c r="Q263" s="5">
        <f>tblSales[[#This Row],[Profit]]/tblSales[[#This Row],[Revenue]]</f>
        <v>0.15</v>
      </c>
      <c r="R263" s="8">
        <f>tblSales[[#This Row],[Revenue]]*1.1</f>
        <v>660000</v>
      </c>
    </row>
    <row r="264" spans="1:18">
      <c r="A264" t="s">
        <v>765</v>
      </c>
      <c r="B264" s="7">
        <v>45475</v>
      </c>
      <c r="C264" t="s">
        <v>33</v>
      </c>
      <c r="D264" t="s">
        <v>34</v>
      </c>
      <c r="E264" t="s">
        <v>228</v>
      </c>
      <c r="F264" t="s">
        <v>36</v>
      </c>
      <c r="G264" t="s">
        <v>766</v>
      </c>
      <c r="H264">
        <v>500</v>
      </c>
      <c r="I264" s="8">
        <v>1750000</v>
      </c>
      <c r="J264" s="8">
        <v>350000</v>
      </c>
      <c r="K264">
        <v>0</v>
      </c>
      <c r="L264" s="8">
        <v>80000</v>
      </c>
      <c r="M264" t="s">
        <v>38</v>
      </c>
      <c r="N264" s="11" t="str">
        <f>TEXT(tblSales[[#This Row],[Date]],"mmmm")</f>
        <v>July</v>
      </c>
      <c r="O264" s="11" t="str">
        <f>"Q"&amp;ROUNDUP(MONTH(tblSales[[#This Row],[Date]])/3,0)</f>
        <v>Q3</v>
      </c>
      <c r="P264" s="11">
        <f>YEAR(tblSales[[#This Row],[Date]])</f>
        <v>2024</v>
      </c>
      <c r="Q264" s="5">
        <f>tblSales[[#This Row],[Profit]]/tblSales[[#This Row],[Revenue]]</f>
        <v>0.2</v>
      </c>
      <c r="R264" s="8">
        <f>tblSales[[#This Row],[Revenue]]*1.1</f>
        <v>1925000</v>
      </c>
    </row>
    <row r="265" spans="1:18">
      <c r="A265" t="s">
        <v>767</v>
      </c>
      <c r="B265" s="7">
        <v>45475</v>
      </c>
      <c r="C265" t="s">
        <v>26</v>
      </c>
      <c r="D265" t="s">
        <v>27</v>
      </c>
      <c r="E265" t="s">
        <v>231</v>
      </c>
      <c r="F265" t="s">
        <v>22</v>
      </c>
      <c r="G265" t="s">
        <v>768</v>
      </c>
      <c r="H265">
        <v>60</v>
      </c>
      <c r="I265" s="8">
        <v>3000000</v>
      </c>
      <c r="J265" s="8">
        <v>600000</v>
      </c>
      <c r="K265">
        <v>10</v>
      </c>
      <c r="L265" s="8">
        <v>70000</v>
      </c>
      <c r="M265" t="s">
        <v>24</v>
      </c>
      <c r="N265" s="11" t="str">
        <f>TEXT(tblSales[[#This Row],[Date]],"mmmm")</f>
        <v>July</v>
      </c>
      <c r="O265" s="11" t="str">
        <f>"Q"&amp;ROUNDUP(MONTH(tblSales[[#This Row],[Date]])/3,0)</f>
        <v>Q3</v>
      </c>
      <c r="P265" s="11">
        <f>YEAR(tblSales[[#This Row],[Date]])</f>
        <v>2024</v>
      </c>
      <c r="Q265" s="5">
        <f>tblSales[[#This Row],[Profit]]/tblSales[[#This Row],[Revenue]]</f>
        <v>0.2</v>
      </c>
      <c r="R265" s="8">
        <f>tblSales[[#This Row],[Revenue]]*1.1</f>
        <v>3300000</v>
      </c>
    </row>
    <row r="266" spans="1:18">
      <c r="A266" t="s">
        <v>769</v>
      </c>
      <c r="B266" s="7">
        <v>45476</v>
      </c>
      <c r="C266" t="s">
        <v>19</v>
      </c>
      <c r="D266" t="s">
        <v>50</v>
      </c>
      <c r="E266" t="s">
        <v>234</v>
      </c>
      <c r="F266" t="s">
        <v>29</v>
      </c>
      <c r="G266" t="s">
        <v>770</v>
      </c>
      <c r="H266">
        <v>150</v>
      </c>
      <c r="I266" s="8">
        <v>750000</v>
      </c>
      <c r="J266" s="8">
        <v>150000</v>
      </c>
      <c r="K266">
        <v>0</v>
      </c>
      <c r="L266" s="8">
        <v>20000</v>
      </c>
      <c r="M266" t="s">
        <v>31</v>
      </c>
      <c r="N266" s="11" t="str">
        <f>TEXT(tblSales[[#This Row],[Date]],"mmmm")</f>
        <v>July</v>
      </c>
      <c r="O266" s="11" t="str">
        <f>"Q"&amp;ROUNDUP(MONTH(tblSales[[#This Row],[Date]])/3,0)</f>
        <v>Q3</v>
      </c>
      <c r="P266" s="11">
        <f>YEAR(tblSales[[#This Row],[Date]])</f>
        <v>2024</v>
      </c>
      <c r="Q266" s="5">
        <f>tblSales[[#This Row],[Profit]]/tblSales[[#This Row],[Revenue]]</f>
        <v>0.2</v>
      </c>
      <c r="R266" s="8">
        <f>tblSales[[#This Row],[Revenue]]*1.1</f>
        <v>825000</v>
      </c>
    </row>
    <row r="267" spans="1:18">
      <c r="A267" t="s">
        <v>771</v>
      </c>
      <c r="B267" s="7">
        <v>45476</v>
      </c>
      <c r="C267" t="s">
        <v>33</v>
      </c>
      <c r="D267" t="s">
        <v>54</v>
      </c>
      <c r="E267" t="s">
        <v>237</v>
      </c>
      <c r="F267" t="s">
        <v>36</v>
      </c>
      <c r="G267" t="s">
        <v>772</v>
      </c>
      <c r="H267">
        <v>300</v>
      </c>
      <c r="I267" s="8">
        <v>1800000</v>
      </c>
      <c r="J267" s="8">
        <v>360000</v>
      </c>
      <c r="K267">
        <v>0</v>
      </c>
      <c r="L267" s="8">
        <v>100000</v>
      </c>
      <c r="M267" t="s">
        <v>38</v>
      </c>
      <c r="N267" s="11" t="str">
        <f>TEXT(tblSales[[#This Row],[Date]],"mmmm")</f>
        <v>July</v>
      </c>
      <c r="O267" s="11" t="str">
        <f>"Q"&amp;ROUNDUP(MONTH(tblSales[[#This Row],[Date]])/3,0)</f>
        <v>Q3</v>
      </c>
      <c r="P267" s="11">
        <f>YEAR(tblSales[[#This Row],[Date]])</f>
        <v>2024</v>
      </c>
      <c r="Q267" s="5">
        <f>tblSales[[#This Row],[Profit]]/tblSales[[#This Row],[Revenue]]</f>
        <v>0.2</v>
      </c>
      <c r="R267" s="8">
        <f>tblSales[[#This Row],[Revenue]]*1.1</f>
        <v>1980000</v>
      </c>
    </row>
    <row r="268" spans="1:18">
      <c r="A268" t="s">
        <v>773</v>
      </c>
      <c r="B268" s="7">
        <v>45477</v>
      </c>
      <c r="C268" t="s">
        <v>26</v>
      </c>
      <c r="D268" t="s">
        <v>71</v>
      </c>
      <c r="E268" t="s">
        <v>240</v>
      </c>
      <c r="F268" t="s">
        <v>22</v>
      </c>
      <c r="G268" t="s">
        <v>774</v>
      </c>
      <c r="H268">
        <v>10</v>
      </c>
      <c r="I268" s="8">
        <v>2000000</v>
      </c>
      <c r="J268" s="8">
        <v>300000</v>
      </c>
      <c r="K268">
        <v>5</v>
      </c>
      <c r="L268" s="8">
        <v>50000</v>
      </c>
      <c r="M268" t="s">
        <v>24</v>
      </c>
      <c r="N268" s="11" t="str">
        <f>TEXT(tblSales[[#This Row],[Date]],"mmmm")</f>
        <v>July</v>
      </c>
      <c r="O268" s="11" t="str">
        <f>"Q"&amp;ROUNDUP(MONTH(tblSales[[#This Row],[Date]])/3,0)</f>
        <v>Q3</v>
      </c>
      <c r="P268" s="11">
        <f>YEAR(tblSales[[#This Row],[Date]])</f>
        <v>2024</v>
      </c>
      <c r="Q268" s="5">
        <f>tblSales[[#This Row],[Profit]]/tblSales[[#This Row],[Revenue]]</f>
        <v>0.15</v>
      </c>
      <c r="R268" s="8">
        <f>tblSales[[#This Row],[Revenue]]*1.1</f>
        <v>2200000</v>
      </c>
    </row>
    <row r="269" spans="1:18">
      <c r="A269" t="s">
        <v>775</v>
      </c>
      <c r="B269" s="7">
        <v>45477</v>
      </c>
      <c r="C269" t="s">
        <v>40</v>
      </c>
      <c r="D269" t="s">
        <v>41</v>
      </c>
      <c r="E269" t="s">
        <v>243</v>
      </c>
      <c r="F269" t="s">
        <v>43</v>
      </c>
      <c r="G269" t="s">
        <v>776</v>
      </c>
      <c r="H269">
        <v>8</v>
      </c>
      <c r="I269" s="8">
        <v>400000</v>
      </c>
      <c r="J269" s="8">
        <v>60000</v>
      </c>
      <c r="K269">
        <v>0</v>
      </c>
      <c r="L269" s="8">
        <v>15000</v>
      </c>
      <c r="M269" t="s">
        <v>31</v>
      </c>
      <c r="N269" s="11" t="str">
        <f>TEXT(tblSales[[#This Row],[Date]],"mmmm")</f>
        <v>July</v>
      </c>
      <c r="O269" s="11" t="str">
        <f>"Q"&amp;ROUNDUP(MONTH(tblSales[[#This Row],[Date]])/3,0)</f>
        <v>Q3</v>
      </c>
      <c r="P269" s="11">
        <f>YEAR(tblSales[[#This Row],[Date]])</f>
        <v>2024</v>
      </c>
      <c r="Q269" s="5">
        <f>tblSales[[#This Row],[Profit]]/tblSales[[#This Row],[Revenue]]</f>
        <v>0.15</v>
      </c>
      <c r="R269" s="8">
        <f>tblSales[[#This Row],[Revenue]]*1.1</f>
        <v>440000</v>
      </c>
    </row>
    <row r="270" spans="1:18">
      <c r="A270" t="s">
        <v>777</v>
      </c>
      <c r="B270" s="7">
        <v>45478</v>
      </c>
      <c r="C270" t="s">
        <v>19</v>
      </c>
      <c r="D270" t="s">
        <v>20</v>
      </c>
      <c r="E270" t="s">
        <v>246</v>
      </c>
      <c r="F270" t="s">
        <v>29</v>
      </c>
      <c r="G270" t="s">
        <v>778</v>
      </c>
      <c r="H270">
        <v>500</v>
      </c>
      <c r="I270" s="8">
        <v>2500000</v>
      </c>
      <c r="J270" s="8">
        <v>500000</v>
      </c>
      <c r="K270">
        <v>0</v>
      </c>
      <c r="L270" s="8">
        <v>60000</v>
      </c>
      <c r="M270" t="s">
        <v>24</v>
      </c>
      <c r="N270" s="11" t="str">
        <f>TEXT(tblSales[[#This Row],[Date]],"mmmm")</f>
        <v>July</v>
      </c>
      <c r="O270" s="11" t="str">
        <f>"Q"&amp;ROUNDUP(MONTH(tblSales[[#This Row],[Date]])/3,0)</f>
        <v>Q3</v>
      </c>
      <c r="P270" s="11">
        <f>YEAR(tblSales[[#This Row],[Date]])</f>
        <v>2024</v>
      </c>
      <c r="Q270" s="5">
        <f>tblSales[[#This Row],[Profit]]/tblSales[[#This Row],[Revenue]]</f>
        <v>0.2</v>
      </c>
      <c r="R270" s="8">
        <f>tblSales[[#This Row],[Revenue]]*1.1</f>
        <v>2750000</v>
      </c>
    </row>
    <row r="271" spans="1:18">
      <c r="A271" t="s">
        <v>779</v>
      </c>
      <c r="B271" s="7">
        <v>45478</v>
      </c>
      <c r="C271" t="s">
        <v>33</v>
      </c>
      <c r="D271" t="s">
        <v>34</v>
      </c>
      <c r="E271" t="s">
        <v>249</v>
      </c>
      <c r="F271" t="s">
        <v>36</v>
      </c>
      <c r="G271" t="s">
        <v>780</v>
      </c>
      <c r="H271">
        <v>1000</v>
      </c>
      <c r="I271" s="8">
        <v>50000000</v>
      </c>
      <c r="J271" s="8">
        <v>10000000</v>
      </c>
      <c r="K271">
        <v>0</v>
      </c>
      <c r="L271" s="8">
        <v>1000000</v>
      </c>
      <c r="M271" t="s">
        <v>38</v>
      </c>
      <c r="N271" s="11" t="str">
        <f>TEXT(tblSales[[#This Row],[Date]],"mmmm")</f>
        <v>July</v>
      </c>
      <c r="O271" s="11" t="str">
        <f>"Q"&amp;ROUNDUP(MONTH(tblSales[[#This Row],[Date]])/3,0)</f>
        <v>Q3</v>
      </c>
      <c r="P271" s="11">
        <f>YEAR(tblSales[[#This Row],[Date]])</f>
        <v>2024</v>
      </c>
      <c r="Q271" s="5">
        <f>tblSales[[#This Row],[Profit]]/tblSales[[#This Row],[Revenue]]</f>
        <v>0.2</v>
      </c>
      <c r="R271" s="8">
        <f>tblSales[[#This Row],[Revenue]]*1.1</f>
        <v>55000000</v>
      </c>
    </row>
    <row r="272" spans="1:18">
      <c r="A272" t="s">
        <v>781</v>
      </c>
      <c r="B272" s="7">
        <v>45479</v>
      </c>
      <c r="C272" t="s">
        <v>26</v>
      </c>
      <c r="D272" t="s">
        <v>27</v>
      </c>
      <c r="E272" t="s">
        <v>252</v>
      </c>
      <c r="F272" t="s">
        <v>22</v>
      </c>
      <c r="G272" t="s">
        <v>782</v>
      </c>
      <c r="H272">
        <v>30</v>
      </c>
      <c r="I272" s="8">
        <v>900000</v>
      </c>
      <c r="J272" s="8">
        <v>180000</v>
      </c>
      <c r="K272">
        <v>10</v>
      </c>
      <c r="L272" s="8">
        <v>20000</v>
      </c>
      <c r="M272" t="s">
        <v>24</v>
      </c>
      <c r="N272" s="11" t="str">
        <f>TEXT(tblSales[[#This Row],[Date]],"mmmm")</f>
        <v>July</v>
      </c>
      <c r="O272" s="11" t="str">
        <f>"Q"&amp;ROUNDUP(MONTH(tblSales[[#This Row],[Date]])/3,0)</f>
        <v>Q3</v>
      </c>
      <c r="P272" s="11">
        <f>YEAR(tblSales[[#This Row],[Date]])</f>
        <v>2024</v>
      </c>
      <c r="Q272" s="5">
        <f>tblSales[[#This Row],[Profit]]/tblSales[[#This Row],[Revenue]]</f>
        <v>0.2</v>
      </c>
      <c r="R272" s="8">
        <f>tblSales[[#This Row],[Revenue]]*1.1</f>
        <v>990000</v>
      </c>
    </row>
    <row r="273" spans="1:18">
      <c r="A273" t="s">
        <v>783</v>
      </c>
      <c r="B273" s="7">
        <v>45479</v>
      </c>
      <c r="C273" t="s">
        <v>40</v>
      </c>
      <c r="D273" t="s">
        <v>61</v>
      </c>
      <c r="E273" t="s">
        <v>255</v>
      </c>
      <c r="F273" t="s">
        <v>29</v>
      </c>
      <c r="G273" t="s">
        <v>784</v>
      </c>
      <c r="H273">
        <v>200</v>
      </c>
      <c r="I273" s="8">
        <v>1000000</v>
      </c>
      <c r="J273" s="8">
        <v>200000</v>
      </c>
      <c r="K273">
        <v>0</v>
      </c>
      <c r="L273" s="8">
        <v>50000</v>
      </c>
      <c r="M273" t="s">
        <v>31</v>
      </c>
      <c r="N273" s="11" t="str">
        <f>TEXT(tblSales[[#This Row],[Date]],"mmmm")</f>
        <v>July</v>
      </c>
      <c r="O273" s="11" t="str">
        <f>"Q"&amp;ROUNDUP(MONTH(tblSales[[#This Row],[Date]])/3,0)</f>
        <v>Q3</v>
      </c>
      <c r="P273" s="11">
        <f>YEAR(tblSales[[#This Row],[Date]])</f>
        <v>2024</v>
      </c>
      <c r="Q273" s="5">
        <f>tblSales[[#This Row],[Profit]]/tblSales[[#This Row],[Revenue]]</f>
        <v>0.2</v>
      </c>
      <c r="R273" s="8">
        <f>tblSales[[#This Row],[Revenue]]*1.1</f>
        <v>1100000</v>
      </c>
    </row>
    <row r="274" spans="1:18">
      <c r="A274" t="s">
        <v>785</v>
      </c>
      <c r="B274" s="7">
        <v>45480</v>
      </c>
      <c r="C274" t="s">
        <v>19</v>
      </c>
      <c r="D274" t="s">
        <v>100</v>
      </c>
      <c r="E274" t="s">
        <v>258</v>
      </c>
      <c r="F274" t="s">
        <v>43</v>
      </c>
      <c r="G274" t="s">
        <v>786</v>
      </c>
      <c r="H274">
        <v>15</v>
      </c>
      <c r="I274" s="8">
        <v>450000</v>
      </c>
      <c r="J274" s="8">
        <v>67500</v>
      </c>
      <c r="K274">
        <v>5</v>
      </c>
      <c r="L274" s="8">
        <v>10000</v>
      </c>
      <c r="M274" t="s">
        <v>24</v>
      </c>
      <c r="N274" s="11" t="str">
        <f>TEXT(tblSales[[#This Row],[Date]],"mmmm")</f>
        <v>July</v>
      </c>
      <c r="O274" s="11" t="str">
        <f>"Q"&amp;ROUNDUP(MONTH(tblSales[[#This Row],[Date]])/3,0)</f>
        <v>Q3</v>
      </c>
      <c r="P274" s="11">
        <f>YEAR(tblSales[[#This Row],[Date]])</f>
        <v>2024</v>
      </c>
      <c r="Q274" s="5">
        <f>tblSales[[#This Row],[Profit]]/tblSales[[#This Row],[Revenue]]</f>
        <v>0.15</v>
      </c>
      <c r="R274" s="8">
        <f>tblSales[[#This Row],[Revenue]]*1.1</f>
        <v>495000</v>
      </c>
    </row>
    <row r="275" spans="1:18">
      <c r="A275" t="s">
        <v>787</v>
      </c>
      <c r="B275" s="7">
        <v>45480</v>
      </c>
      <c r="C275" t="s">
        <v>33</v>
      </c>
      <c r="D275" t="s">
        <v>54</v>
      </c>
      <c r="E275" t="s">
        <v>261</v>
      </c>
      <c r="F275" t="s">
        <v>36</v>
      </c>
      <c r="G275" t="s">
        <v>788</v>
      </c>
      <c r="H275">
        <v>600</v>
      </c>
      <c r="I275" s="8">
        <v>3600000</v>
      </c>
      <c r="J275" s="8">
        <v>720000</v>
      </c>
      <c r="K275">
        <v>0</v>
      </c>
      <c r="L275" s="8">
        <v>120000</v>
      </c>
      <c r="M275" t="s">
        <v>38</v>
      </c>
      <c r="N275" s="11" t="str">
        <f>TEXT(tblSales[[#This Row],[Date]],"mmmm")</f>
        <v>July</v>
      </c>
      <c r="O275" s="11" t="str">
        <f>"Q"&amp;ROUNDUP(MONTH(tblSales[[#This Row],[Date]])/3,0)</f>
        <v>Q3</v>
      </c>
      <c r="P275" s="11">
        <f>YEAR(tblSales[[#This Row],[Date]])</f>
        <v>2024</v>
      </c>
      <c r="Q275" s="5">
        <f>tblSales[[#This Row],[Profit]]/tblSales[[#This Row],[Revenue]]</f>
        <v>0.2</v>
      </c>
      <c r="R275" s="8">
        <f>tblSales[[#This Row],[Revenue]]*1.1</f>
        <v>3960000</v>
      </c>
    </row>
    <row r="276" spans="1:18">
      <c r="A276" t="s">
        <v>789</v>
      </c>
      <c r="B276" s="7">
        <v>45481</v>
      </c>
      <c r="C276" t="s">
        <v>26</v>
      </c>
      <c r="D276" t="s">
        <v>46</v>
      </c>
      <c r="E276" t="s">
        <v>264</v>
      </c>
      <c r="F276" t="s">
        <v>22</v>
      </c>
      <c r="G276" t="s">
        <v>790</v>
      </c>
      <c r="H276">
        <v>3</v>
      </c>
      <c r="I276" s="8">
        <v>1350000</v>
      </c>
      <c r="J276" s="8">
        <v>202500</v>
      </c>
      <c r="K276">
        <v>0</v>
      </c>
      <c r="L276" s="8">
        <v>20000</v>
      </c>
      <c r="M276" t="s">
        <v>24</v>
      </c>
      <c r="N276" s="11" t="str">
        <f>TEXT(tblSales[[#This Row],[Date]],"mmmm")</f>
        <v>July</v>
      </c>
      <c r="O276" s="11" t="str">
        <f>"Q"&amp;ROUNDUP(MONTH(tblSales[[#This Row],[Date]])/3,0)</f>
        <v>Q3</v>
      </c>
      <c r="P276" s="11">
        <f>YEAR(tblSales[[#This Row],[Date]])</f>
        <v>2024</v>
      </c>
      <c r="Q276" s="5">
        <f>tblSales[[#This Row],[Profit]]/tblSales[[#This Row],[Revenue]]</f>
        <v>0.15</v>
      </c>
      <c r="R276" s="8">
        <f>tblSales[[#This Row],[Revenue]]*1.1</f>
        <v>1485000</v>
      </c>
    </row>
    <row r="277" spans="1:18">
      <c r="A277" t="s">
        <v>791</v>
      </c>
      <c r="B277" s="7">
        <v>45481</v>
      </c>
      <c r="C277" t="s">
        <v>19</v>
      </c>
      <c r="D277" t="s">
        <v>50</v>
      </c>
      <c r="E277" t="s">
        <v>267</v>
      </c>
      <c r="F277" t="s">
        <v>29</v>
      </c>
      <c r="G277" t="s">
        <v>792</v>
      </c>
      <c r="H277">
        <v>120</v>
      </c>
      <c r="I277" s="8">
        <v>720000</v>
      </c>
      <c r="J277" s="8">
        <v>144000</v>
      </c>
      <c r="K277">
        <v>0</v>
      </c>
      <c r="L277" s="8">
        <v>18000</v>
      </c>
      <c r="M277" t="s">
        <v>31</v>
      </c>
      <c r="N277" s="11" t="str">
        <f>TEXT(tblSales[[#This Row],[Date]],"mmmm")</f>
        <v>July</v>
      </c>
      <c r="O277" s="11" t="str">
        <f>"Q"&amp;ROUNDUP(MONTH(tblSales[[#This Row],[Date]])/3,0)</f>
        <v>Q3</v>
      </c>
      <c r="P277" s="11">
        <f>YEAR(tblSales[[#This Row],[Date]])</f>
        <v>2024</v>
      </c>
      <c r="Q277" s="5">
        <f>tblSales[[#This Row],[Profit]]/tblSales[[#This Row],[Revenue]]</f>
        <v>0.2</v>
      </c>
      <c r="R277" s="8">
        <f>tblSales[[#This Row],[Revenue]]*1.1</f>
        <v>792000</v>
      </c>
    </row>
    <row r="278" spans="1:18">
      <c r="A278" t="s">
        <v>793</v>
      </c>
      <c r="B278" s="7">
        <v>45482</v>
      </c>
      <c r="C278" t="s">
        <v>33</v>
      </c>
      <c r="D278" t="s">
        <v>34</v>
      </c>
      <c r="E278" t="s">
        <v>270</v>
      </c>
      <c r="F278" t="s">
        <v>36</v>
      </c>
      <c r="G278" t="s">
        <v>794</v>
      </c>
      <c r="H278">
        <v>60</v>
      </c>
      <c r="I278" s="8">
        <v>1800000</v>
      </c>
      <c r="J278" s="8">
        <v>360000</v>
      </c>
      <c r="K278">
        <v>0</v>
      </c>
      <c r="L278" s="8">
        <v>40000</v>
      </c>
      <c r="M278" t="s">
        <v>38</v>
      </c>
      <c r="N278" s="11" t="str">
        <f>TEXT(tblSales[[#This Row],[Date]],"mmmm")</f>
        <v>July</v>
      </c>
      <c r="O278" s="11" t="str">
        <f>"Q"&amp;ROUNDUP(MONTH(tblSales[[#This Row],[Date]])/3,0)</f>
        <v>Q3</v>
      </c>
      <c r="P278" s="11">
        <f>YEAR(tblSales[[#This Row],[Date]])</f>
        <v>2024</v>
      </c>
      <c r="Q278" s="5">
        <f>tblSales[[#This Row],[Profit]]/tblSales[[#This Row],[Revenue]]</f>
        <v>0.2</v>
      </c>
      <c r="R278" s="8">
        <f>tblSales[[#This Row],[Revenue]]*1.1</f>
        <v>1980000</v>
      </c>
    </row>
    <row r="279" spans="1:18">
      <c r="A279" t="s">
        <v>795</v>
      </c>
      <c r="B279" s="7">
        <v>45482</v>
      </c>
      <c r="C279" t="s">
        <v>26</v>
      </c>
      <c r="D279" t="s">
        <v>27</v>
      </c>
      <c r="E279" t="s">
        <v>273</v>
      </c>
      <c r="F279" t="s">
        <v>43</v>
      </c>
      <c r="G279" t="s">
        <v>796</v>
      </c>
      <c r="H279">
        <v>18</v>
      </c>
      <c r="I279" s="8">
        <v>900000</v>
      </c>
      <c r="J279" s="8">
        <v>135000</v>
      </c>
      <c r="K279">
        <v>10</v>
      </c>
      <c r="L279" s="8">
        <v>25000</v>
      </c>
      <c r="M279" t="s">
        <v>24</v>
      </c>
      <c r="N279" s="11" t="str">
        <f>TEXT(tblSales[[#This Row],[Date]],"mmmm")</f>
        <v>July</v>
      </c>
      <c r="O279" s="11" t="str">
        <f>"Q"&amp;ROUNDUP(MONTH(tblSales[[#This Row],[Date]])/3,0)</f>
        <v>Q3</v>
      </c>
      <c r="P279" s="11">
        <f>YEAR(tblSales[[#This Row],[Date]])</f>
        <v>2024</v>
      </c>
      <c r="Q279" s="5">
        <f>tblSales[[#This Row],[Profit]]/tblSales[[#This Row],[Revenue]]</f>
        <v>0.15</v>
      </c>
      <c r="R279" s="8">
        <f>tblSales[[#This Row],[Revenue]]*1.1</f>
        <v>990000</v>
      </c>
    </row>
    <row r="280" spans="1:18">
      <c r="A280" t="s">
        <v>797</v>
      </c>
      <c r="B280" s="7">
        <v>45483</v>
      </c>
      <c r="C280" t="s">
        <v>40</v>
      </c>
      <c r="D280" t="s">
        <v>41</v>
      </c>
      <c r="E280" t="s">
        <v>276</v>
      </c>
      <c r="F280" t="s">
        <v>22</v>
      </c>
      <c r="G280" t="s">
        <v>798</v>
      </c>
      <c r="H280">
        <v>25</v>
      </c>
      <c r="I280" s="8">
        <v>1250000</v>
      </c>
      <c r="J280" s="8">
        <v>250000</v>
      </c>
      <c r="K280">
        <v>0</v>
      </c>
      <c r="L280" s="8">
        <v>30000</v>
      </c>
      <c r="M280" t="s">
        <v>31</v>
      </c>
      <c r="N280" s="11" t="str">
        <f>TEXT(tblSales[[#This Row],[Date]],"mmmm")</f>
        <v>July</v>
      </c>
      <c r="O280" s="11" t="str">
        <f>"Q"&amp;ROUNDUP(MONTH(tblSales[[#This Row],[Date]])/3,0)</f>
        <v>Q3</v>
      </c>
      <c r="P280" s="11">
        <f>YEAR(tblSales[[#This Row],[Date]])</f>
        <v>2024</v>
      </c>
      <c r="Q280" s="5">
        <f>tblSales[[#This Row],[Profit]]/tblSales[[#This Row],[Revenue]]</f>
        <v>0.2</v>
      </c>
      <c r="R280" s="8">
        <f>tblSales[[#This Row],[Revenue]]*1.1</f>
        <v>1375000</v>
      </c>
    </row>
    <row r="281" spans="1:18">
      <c r="A281" t="s">
        <v>799</v>
      </c>
      <c r="B281" s="7">
        <v>45483</v>
      </c>
      <c r="C281" t="s">
        <v>19</v>
      </c>
      <c r="D281" t="s">
        <v>20</v>
      </c>
      <c r="E281" t="s">
        <v>279</v>
      </c>
      <c r="F281" t="s">
        <v>29</v>
      </c>
      <c r="G281" t="s">
        <v>800</v>
      </c>
      <c r="H281">
        <v>80</v>
      </c>
      <c r="I281" s="8">
        <v>800000</v>
      </c>
      <c r="J281" s="8">
        <v>160000</v>
      </c>
      <c r="K281">
        <v>0</v>
      </c>
      <c r="L281" s="8">
        <v>15000</v>
      </c>
      <c r="M281" t="s">
        <v>24</v>
      </c>
      <c r="N281" s="11" t="str">
        <f>TEXT(tblSales[[#This Row],[Date]],"mmmm")</f>
        <v>July</v>
      </c>
      <c r="O281" s="11" t="str">
        <f>"Q"&amp;ROUNDUP(MONTH(tblSales[[#This Row],[Date]])/3,0)</f>
        <v>Q3</v>
      </c>
      <c r="P281" s="11">
        <f>YEAR(tblSales[[#This Row],[Date]])</f>
        <v>2024</v>
      </c>
      <c r="Q281" s="5">
        <f>tblSales[[#This Row],[Profit]]/tblSales[[#This Row],[Revenue]]</f>
        <v>0.2</v>
      </c>
      <c r="R281" s="8">
        <f>tblSales[[#This Row],[Revenue]]*1.1</f>
        <v>880000</v>
      </c>
    </row>
    <row r="282" spans="1:18">
      <c r="A282" t="s">
        <v>801</v>
      </c>
      <c r="B282" s="7">
        <v>45484</v>
      </c>
      <c r="C282" t="s">
        <v>33</v>
      </c>
      <c r="D282" t="s">
        <v>54</v>
      </c>
      <c r="E282" t="s">
        <v>282</v>
      </c>
      <c r="F282" t="s">
        <v>36</v>
      </c>
      <c r="G282" t="s">
        <v>802</v>
      </c>
      <c r="H282">
        <v>150</v>
      </c>
      <c r="I282" s="8">
        <v>2250000</v>
      </c>
      <c r="J282" s="8">
        <v>450000</v>
      </c>
      <c r="K282">
        <v>0</v>
      </c>
      <c r="L282" s="8">
        <v>60000</v>
      </c>
      <c r="M282" t="s">
        <v>38</v>
      </c>
      <c r="N282" s="11" t="str">
        <f>TEXT(tblSales[[#This Row],[Date]],"mmmm")</f>
        <v>July</v>
      </c>
      <c r="O282" s="11" t="str">
        <f>"Q"&amp;ROUNDUP(MONTH(tblSales[[#This Row],[Date]])/3,0)</f>
        <v>Q3</v>
      </c>
      <c r="P282" s="11">
        <f>YEAR(tblSales[[#This Row],[Date]])</f>
        <v>2024</v>
      </c>
      <c r="Q282" s="5">
        <f>tblSales[[#This Row],[Profit]]/tblSales[[#This Row],[Revenue]]</f>
        <v>0.2</v>
      </c>
      <c r="R282" s="8">
        <f>tblSales[[#This Row],[Revenue]]*1.1</f>
        <v>2475000</v>
      </c>
    </row>
    <row r="283" spans="1:18">
      <c r="A283" t="s">
        <v>803</v>
      </c>
      <c r="B283" s="7">
        <v>45484</v>
      </c>
      <c r="C283" t="s">
        <v>26</v>
      </c>
      <c r="D283" t="s">
        <v>71</v>
      </c>
      <c r="E283" t="s">
        <v>285</v>
      </c>
      <c r="F283" t="s">
        <v>22</v>
      </c>
      <c r="G283" t="s">
        <v>804</v>
      </c>
      <c r="H283">
        <v>50</v>
      </c>
      <c r="I283" s="8">
        <v>500000</v>
      </c>
      <c r="J283" s="8">
        <v>100000</v>
      </c>
      <c r="K283">
        <v>5</v>
      </c>
      <c r="L283" s="8">
        <v>10000</v>
      </c>
      <c r="M283" t="s">
        <v>24</v>
      </c>
      <c r="N283" s="11" t="str">
        <f>TEXT(tblSales[[#This Row],[Date]],"mmmm")</f>
        <v>July</v>
      </c>
      <c r="O283" s="11" t="str">
        <f>"Q"&amp;ROUNDUP(MONTH(tblSales[[#This Row],[Date]])/3,0)</f>
        <v>Q3</v>
      </c>
      <c r="P283" s="11">
        <f>YEAR(tblSales[[#This Row],[Date]])</f>
        <v>2024</v>
      </c>
      <c r="Q283" s="5">
        <f>tblSales[[#This Row],[Profit]]/tblSales[[#This Row],[Revenue]]</f>
        <v>0.2</v>
      </c>
      <c r="R283" s="8">
        <f>tblSales[[#This Row],[Revenue]]*1.1</f>
        <v>550000</v>
      </c>
    </row>
    <row r="284" spans="1:18">
      <c r="A284" t="s">
        <v>805</v>
      </c>
      <c r="B284" s="7">
        <v>45485</v>
      </c>
      <c r="C284" t="s">
        <v>40</v>
      </c>
      <c r="D284" t="s">
        <v>126</v>
      </c>
      <c r="E284" t="s">
        <v>288</v>
      </c>
      <c r="F284" t="s">
        <v>43</v>
      </c>
      <c r="G284" t="s">
        <v>806</v>
      </c>
      <c r="H284">
        <v>300</v>
      </c>
      <c r="I284" s="8">
        <v>900000</v>
      </c>
      <c r="J284" s="8">
        <v>135000</v>
      </c>
      <c r="K284">
        <v>0</v>
      </c>
      <c r="L284" s="8">
        <v>30000</v>
      </c>
      <c r="M284" t="s">
        <v>31</v>
      </c>
      <c r="N284" s="11" t="str">
        <f>TEXT(tblSales[[#This Row],[Date]],"mmmm")</f>
        <v>July</v>
      </c>
      <c r="O284" s="11" t="str">
        <f>"Q"&amp;ROUNDUP(MONTH(tblSales[[#This Row],[Date]])/3,0)</f>
        <v>Q3</v>
      </c>
      <c r="P284" s="11">
        <f>YEAR(tblSales[[#This Row],[Date]])</f>
        <v>2024</v>
      </c>
      <c r="Q284" s="5">
        <f>tblSales[[#This Row],[Profit]]/tblSales[[#This Row],[Revenue]]</f>
        <v>0.15</v>
      </c>
      <c r="R284" s="8">
        <f>tblSales[[#This Row],[Revenue]]*1.1</f>
        <v>990000</v>
      </c>
    </row>
    <row r="285" spans="1:18">
      <c r="A285" t="s">
        <v>807</v>
      </c>
      <c r="B285" s="7">
        <v>45485</v>
      </c>
      <c r="C285" t="s">
        <v>19</v>
      </c>
      <c r="D285" t="s">
        <v>113</v>
      </c>
      <c r="E285" t="s">
        <v>291</v>
      </c>
      <c r="F285" t="s">
        <v>29</v>
      </c>
      <c r="G285" t="s">
        <v>808</v>
      </c>
      <c r="H285">
        <v>90</v>
      </c>
      <c r="I285" s="8">
        <v>450000</v>
      </c>
      <c r="J285" s="8">
        <v>90000</v>
      </c>
      <c r="K285">
        <v>0</v>
      </c>
      <c r="L285" s="8">
        <v>12000</v>
      </c>
      <c r="M285" t="s">
        <v>24</v>
      </c>
      <c r="N285" s="11" t="str">
        <f>TEXT(tblSales[[#This Row],[Date]],"mmmm")</f>
        <v>July</v>
      </c>
      <c r="O285" s="11" t="str">
        <f>"Q"&amp;ROUNDUP(MONTH(tblSales[[#This Row],[Date]])/3,0)</f>
        <v>Q3</v>
      </c>
      <c r="P285" s="11">
        <f>YEAR(tblSales[[#This Row],[Date]])</f>
        <v>2024</v>
      </c>
      <c r="Q285" s="5">
        <f>tblSales[[#This Row],[Profit]]/tblSales[[#This Row],[Revenue]]</f>
        <v>0.2</v>
      </c>
      <c r="R285" s="8">
        <f>tblSales[[#This Row],[Revenue]]*1.1</f>
        <v>495000</v>
      </c>
    </row>
    <row r="286" spans="1:18">
      <c r="A286" t="s">
        <v>809</v>
      </c>
      <c r="B286" s="7">
        <v>45486</v>
      </c>
      <c r="C286" t="s">
        <v>33</v>
      </c>
      <c r="D286" t="s">
        <v>34</v>
      </c>
      <c r="E286" t="s">
        <v>294</v>
      </c>
      <c r="F286" t="s">
        <v>36</v>
      </c>
      <c r="G286" t="s">
        <v>810</v>
      </c>
      <c r="H286">
        <v>200</v>
      </c>
      <c r="I286" s="8">
        <v>1600000</v>
      </c>
      <c r="J286" s="8">
        <v>320000</v>
      </c>
      <c r="K286">
        <v>0</v>
      </c>
      <c r="L286" s="8">
        <v>50000</v>
      </c>
      <c r="M286" t="s">
        <v>38</v>
      </c>
      <c r="N286" s="11" t="str">
        <f>TEXT(tblSales[[#This Row],[Date]],"mmmm")</f>
        <v>July</v>
      </c>
      <c r="O286" s="11" t="str">
        <f>"Q"&amp;ROUNDUP(MONTH(tblSales[[#This Row],[Date]])/3,0)</f>
        <v>Q3</v>
      </c>
      <c r="P286" s="11">
        <f>YEAR(tblSales[[#This Row],[Date]])</f>
        <v>2024</v>
      </c>
      <c r="Q286" s="5">
        <f>tblSales[[#This Row],[Profit]]/tblSales[[#This Row],[Revenue]]</f>
        <v>0.2</v>
      </c>
      <c r="R286" s="8">
        <f>tblSales[[#This Row],[Revenue]]*1.1</f>
        <v>1760000</v>
      </c>
    </row>
    <row r="287" spans="1:18">
      <c r="A287" t="s">
        <v>811</v>
      </c>
      <c r="B287" s="7">
        <v>45486</v>
      </c>
      <c r="C287" t="s">
        <v>26</v>
      </c>
      <c r="D287" t="s">
        <v>27</v>
      </c>
      <c r="E287" t="s">
        <v>297</v>
      </c>
      <c r="F287" t="s">
        <v>22</v>
      </c>
      <c r="G287" t="s">
        <v>812</v>
      </c>
      <c r="H287">
        <v>150</v>
      </c>
      <c r="I287" s="8">
        <v>450000</v>
      </c>
      <c r="J287" s="8">
        <v>90000</v>
      </c>
      <c r="K287">
        <v>0</v>
      </c>
      <c r="L287" s="8">
        <v>15000</v>
      </c>
      <c r="M287" t="s">
        <v>24</v>
      </c>
      <c r="N287" s="11" t="str">
        <f>TEXT(tblSales[[#This Row],[Date]],"mmmm")</f>
        <v>July</v>
      </c>
      <c r="O287" s="11" t="str">
        <f>"Q"&amp;ROUNDUP(MONTH(tblSales[[#This Row],[Date]])/3,0)</f>
        <v>Q3</v>
      </c>
      <c r="P287" s="11">
        <f>YEAR(tblSales[[#This Row],[Date]])</f>
        <v>2024</v>
      </c>
      <c r="Q287" s="5">
        <f>tblSales[[#This Row],[Profit]]/tblSales[[#This Row],[Revenue]]</f>
        <v>0.2</v>
      </c>
      <c r="R287" s="8">
        <f>tblSales[[#This Row],[Revenue]]*1.1</f>
        <v>495000</v>
      </c>
    </row>
    <row r="288" spans="1:18">
      <c r="A288" t="s">
        <v>813</v>
      </c>
      <c r="B288" s="7">
        <v>45487</v>
      </c>
      <c r="C288" t="s">
        <v>40</v>
      </c>
      <c r="D288" t="s">
        <v>41</v>
      </c>
      <c r="E288" t="s">
        <v>300</v>
      </c>
      <c r="F288" t="s">
        <v>43</v>
      </c>
      <c r="G288" t="s">
        <v>814</v>
      </c>
      <c r="H288">
        <v>35</v>
      </c>
      <c r="I288" s="8">
        <v>525000</v>
      </c>
      <c r="J288" s="8">
        <v>78750</v>
      </c>
      <c r="K288">
        <v>10</v>
      </c>
      <c r="L288" s="8">
        <v>15000</v>
      </c>
      <c r="M288" t="s">
        <v>31</v>
      </c>
      <c r="N288" s="11" t="str">
        <f>TEXT(tblSales[[#This Row],[Date]],"mmmm")</f>
        <v>July</v>
      </c>
      <c r="O288" s="11" t="str">
        <f>"Q"&amp;ROUNDUP(MONTH(tblSales[[#This Row],[Date]])/3,0)</f>
        <v>Q3</v>
      </c>
      <c r="P288" s="11">
        <f>YEAR(tblSales[[#This Row],[Date]])</f>
        <v>2024</v>
      </c>
      <c r="Q288" s="5">
        <f>tblSales[[#This Row],[Profit]]/tblSales[[#This Row],[Revenue]]</f>
        <v>0.15</v>
      </c>
      <c r="R288" s="8">
        <f>tblSales[[#This Row],[Revenue]]*1.1</f>
        <v>577500</v>
      </c>
    </row>
    <row r="289" spans="1:18">
      <c r="A289" t="s">
        <v>815</v>
      </c>
      <c r="B289" s="7">
        <v>45487</v>
      </c>
      <c r="C289" t="s">
        <v>19</v>
      </c>
      <c r="D289" t="s">
        <v>20</v>
      </c>
      <c r="E289" t="s">
        <v>303</v>
      </c>
      <c r="F289" t="s">
        <v>29</v>
      </c>
      <c r="G289" t="s">
        <v>816</v>
      </c>
      <c r="H289">
        <v>200</v>
      </c>
      <c r="I289" s="8">
        <v>600000</v>
      </c>
      <c r="J289" s="8">
        <v>120000</v>
      </c>
      <c r="K289">
        <v>0</v>
      </c>
      <c r="L289" s="8">
        <v>10000</v>
      </c>
      <c r="M289" t="s">
        <v>24</v>
      </c>
      <c r="N289" s="11" t="str">
        <f>TEXT(tblSales[[#This Row],[Date]],"mmmm")</f>
        <v>July</v>
      </c>
      <c r="O289" s="11" t="str">
        <f>"Q"&amp;ROUNDUP(MONTH(tblSales[[#This Row],[Date]])/3,0)</f>
        <v>Q3</v>
      </c>
      <c r="P289" s="11">
        <f>YEAR(tblSales[[#This Row],[Date]])</f>
        <v>2024</v>
      </c>
      <c r="Q289" s="5">
        <f>tblSales[[#This Row],[Profit]]/tblSales[[#This Row],[Revenue]]</f>
        <v>0.2</v>
      </c>
      <c r="R289" s="8">
        <f>tblSales[[#This Row],[Revenue]]*1.1</f>
        <v>660000</v>
      </c>
    </row>
    <row r="290" spans="1:18">
      <c r="A290" t="s">
        <v>817</v>
      </c>
      <c r="B290" s="7">
        <v>45488</v>
      </c>
      <c r="C290" t="s">
        <v>33</v>
      </c>
      <c r="D290" t="s">
        <v>54</v>
      </c>
      <c r="E290" t="s">
        <v>306</v>
      </c>
      <c r="F290" t="s">
        <v>36</v>
      </c>
      <c r="G290" t="s">
        <v>818</v>
      </c>
      <c r="H290">
        <v>800</v>
      </c>
      <c r="I290" s="8">
        <v>20000000</v>
      </c>
      <c r="J290" s="8">
        <v>4000000</v>
      </c>
      <c r="K290">
        <v>0</v>
      </c>
      <c r="L290" s="8">
        <v>600000</v>
      </c>
      <c r="M290" t="s">
        <v>38</v>
      </c>
      <c r="N290" s="11" t="str">
        <f>TEXT(tblSales[[#This Row],[Date]],"mmmm")</f>
        <v>July</v>
      </c>
      <c r="O290" s="11" t="str">
        <f>"Q"&amp;ROUNDUP(MONTH(tblSales[[#This Row],[Date]])/3,0)</f>
        <v>Q3</v>
      </c>
      <c r="P290" s="11">
        <f>YEAR(tblSales[[#This Row],[Date]])</f>
        <v>2024</v>
      </c>
      <c r="Q290" s="5">
        <f>tblSales[[#This Row],[Profit]]/tblSales[[#This Row],[Revenue]]</f>
        <v>0.2</v>
      </c>
      <c r="R290" s="8">
        <f>tblSales[[#This Row],[Revenue]]*1.1</f>
        <v>22000000</v>
      </c>
    </row>
    <row r="291" spans="1:18">
      <c r="A291" t="s">
        <v>819</v>
      </c>
      <c r="B291" s="7">
        <v>45488</v>
      </c>
      <c r="C291" t="s">
        <v>26</v>
      </c>
      <c r="D291" t="s">
        <v>46</v>
      </c>
      <c r="E291" t="s">
        <v>309</v>
      </c>
      <c r="F291" t="s">
        <v>22</v>
      </c>
      <c r="G291" t="s">
        <v>820</v>
      </c>
      <c r="H291">
        <v>80</v>
      </c>
      <c r="I291" s="8">
        <v>240000</v>
      </c>
      <c r="J291" s="8">
        <v>48000</v>
      </c>
      <c r="K291">
        <v>5</v>
      </c>
      <c r="L291" s="8">
        <v>8000</v>
      </c>
      <c r="M291" t="s">
        <v>24</v>
      </c>
      <c r="N291" s="11" t="str">
        <f>TEXT(tblSales[[#This Row],[Date]],"mmmm")</f>
        <v>July</v>
      </c>
      <c r="O291" s="11" t="str">
        <f>"Q"&amp;ROUNDUP(MONTH(tblSales[[#This Row],[Date]])/3,0)</f>
        <v>Q3</v>
      </c>
      <c r="P291" s="11">
        <f>YEAR(tblSales[[#This Row],[Date]])</f>
        <v>2024</v>
      </c>
      <c r="Q291" s="5">
        <f>tblSales[[#This Row],[Profit]]/tblSales[[#This Row],[Revenue]]</f>
        <v>0.2</v>
      </c>
      <c r="R291" s="8">
        <f>tblSales[[#This Row],[Revenue]]*1.1</f>
        <v>264000</v>
      </c>
    </row>
    <row r="292" spans="1:18">
      <c r="A292" t="s">
        <v>821</v>
      </c>
      <c r="B292" s="7">
        <v>45489</v>
      </c>
      <c r="C292" t="s">
        <v>40</v>
      </c>
      <c r="D292" t="s">
        <v>93</v>
      </c>
      <c r="E292" t="s">
        <v>312</v>
      </c>
      <c r="F292" t="s">
        <v>43</v>
      </c>
      <c r="G292" t="s">
        <v>822</v>
      </c>
      <c r="H292">
        <v>50</v>
      </c>
      <c r="I292" s="8">
        <v>500000</v>
      </c>
      <c r="J292" s="8">
        <v>75000</v>
      </c>
      <c r="K292">
        <v>0</v>
      </c>
      <c r="L292" s="8">
        <v>15000</v>
      </c>
      <c r="M292" t="s">
        <v>31</v>
      </c>
      <c r="N292" s="11" t="str">
        <f>TEXT(tblSales[[#This Row],[Date]],"mmmm")</f>
        <v>July</v>
      </c>
      <c r="O292" s="11" t="str">
        <f>"Q"&amp;ROUNDUP(MONTH(tblSales[[#This Row],[Date]])/3,0)</f>
        <v>Q3</v>
      </c>
      <c r="P292" s="11">
        <f>YEAR(tblSales[[#This Row],[Date]])</f>
        <v>2024</v>
      </c>
      <c r="Q292" s="5">
        <f>tblSales[[#This Row],[Profit]]/tblSales[[#This Row],[Revenue]]</f>
        <v>0.15</v>
      </c>
      <c r="R292" s="8">
        <f>tblSales[[#This Row],[Revenue]]*1.1</f>
        <v>550000</v>
      </c>
    </row>
    <row r="293" spans="1:18">
      <c r="A293" t="s">
        <v>823</v>
      </c>
      <c r="B293" s="7">
        <v>45489</v>
      </c>
      <c r="C293" t="s">
        <v>19</v>
      </c>
      <c r="D293" t="s">
        <v>50</v>
      </c>
      <c r="E293" t="s">
        <v>315</v>
      </c>
      <c r="F293" t="s">
        <v>29</v>
      </c>
      <c r="G293" t="s">
        <v>824</v>
      </c>
      <c r="H293">
        <v>40</v>
      </c>
      <c r="I293" s="8">
        <v>720000</v>
      </c>
      <c r="J293" s="8">
        <v>144000</v>
      </c>
      <c r="K293">
        <v>0</v>
      </c>
      <c r="L293" s="8">
        <v>12000</v>
      </c>
      <c r="M293" t="s">
        <v>24</v>
      </c>
      <c r="N293" s="11" t="str">
        <f>TEXT(tblSales[[#This Row],[Date]],"mmmm")</f>
        <v>July</v>
      </c>
      <c r="O293" s="11" t="str">
        <f>"Q"&amp;ROUNDUP(MONTH(tblSales[[#This Row],[Date]])/3,0)</f>
        <v>Q3</v>
      </c>
      <c r="P293" s="11">
        <f>YEAR(tblSales[[#This Row],[Date]])</f>
        <v>2024</v>
      </c>
      <c r="Q293" s="5">
        <f>tblSales[[#This Row],[Profit]]/tblSales[[#This Row],[Revenue]]</f>
        <v>0.2</v>
      </c>
      <c r="R293" s="8">
        <f>tblSales[[#This Row],[Revenue]]*1.1</f>
        <v>792000</v>
      </c>
    </row>
    <row r="294" spans="1:18">
      <c r="A294" t="s">
        <v>825</v>
      </c>
      <c r="B294" s="7">
        <v>45490</v>
      </c>
      <c r="C294" t="s">
        <v>33</v>
      </c>
      <c r="D294" t="s">
        <v>34</v>
      </c>
      <c r="E294" t="s">
        <v>318</v>
      </c>
      <c r="F294" t="s">
        <v>36</v>
      </c>
      <c r="G294" t="s">
        <v>826</v>
      </c>
      <c r="H294">
        <v>500</v>
      </c>
      <c r="I294" s="8">
        <v>1500000</v>
      </c>
      <c r="J294" s="8">
        <v>300000</v>
      </c>
      <c r="K294">
        <v>0</v>
      </c>
      <c r="L294" s="8">
        <v>60000</v>
      </c>
      <c r="M294" t="s">
        <v>38</v>
      </c>
      <c r="N294" s="11" t="str">
        <f>TEXT(tblSales[[#This Row],[Date]],"mmmm")</f>
        <v>July</v>
      </c>
      <c r="O294" s="11" t="str">
        <f>"Q"&amp;ROUNDUP(MONTH(tblSales[[#This Row],[Date]])/3,0)</f>
        <v>Q3</v>
      </c>
      <c r="P294" s="11">
        <f>YEAR(tblSales[[#This Row],[Date]])</f>
        <v>2024</v>
      </c>
      <c r="Q294" s="5">
        <f>tblSales[[#This Row],[Profit]]/tblSales[[#This Row],[Revenue]]</f>
        <v>0.2</v>
      </c>
      <c r="R294" s="8">
        <f>tblSales[[#This Row],[Revenue]]*1.1</f>
        <v>1650000</v>
      </c>
    </row>
    <row r="295" spans="1:18">
      <c r="A295" t="s">
        <v>827</v>
      </c>
      <c r="B295" s="7">
        <v>45490</v>
      </c>
      <c r="C295" t="s">
        <v>26</v>
      </c>
      <c r="D295" t="s">
        <v>27</v>
      </c>
      <c r="E295" t="s">
        <v>321</v>
      </c>
      <c r="F295" t="s">
        <v>22</v>
      </c>
      <c r="G295" t="s">
        <v>828</v>
      </c>
      <c r="H295">
        <v>200</v>
      </c>
      <c r="I295" s="8">
        <v>800000</v>
      </c>
      <c r="J295" s="8">
        <v>160000</v>
      </c>
      <c r="K295">
        <v>10</v>
      </c>
      <c r="L295" s="8">
        <v>20000</v>
      </c>
      <c r="M295" t="s">
        <v>24</v>
      </c>
      <c r="N295" s="11" t="str">
        <f>TEXT(tblSales[[#This Row],[Date]],"mmmm")</f>
        <v>July</v>
      </c>
      <c r="O295" s="11" t="str">
        <f>"Q"&amp;ROUNDUP(MONTH(tblSales[[#This Row],[Date]])/3,0)</f>
        <v>Q3</v>
      </c>
      <c r="P295" s="11">
        <f>YEAR(tblSales[[#This Row],[Date]])</f>
        <v>2024</v>
      </c>
      <c r="Q295" s="5">
        <f>tblSales[[#This Row],[Profit]]/tblSales[[#This Row],[Revenue]]</f>
        <v>0.2</v>
      </c>
      <c r="R295" s="8">
        <f>tblSales[[#This Row],[Revenue]]*1.1</f>
        <v>880000</v>
      </c>
    </row>
    <row r="296" spans="1:18">
      <c r="A296" t="s">
        <v>829</v>
      </c>
      <c r="B296" s="7">
        <v>45491</v>
      </c>
      <c r="C296" t="s">
        <v>40</v>
      </c>
      <c r="D296" t="s">
        <v>61</v>
      </c>
      <c r="E296" t="s">
        <v>324</v>
      </c>
      <c r="F296" t="s">
        <v>43</v>
      </c>
      <c r="G296" t="s">
        <v>830</v>
      </c>
      <c r="H296">
        <v>60</v>
      </c>
      <c r="I296" s="8">
        <v>360000</v>
      </c>
      <c r="J296" s="8">
        <v>54000</v>
      </c>
      <c r="K296">
        <v>0</v>
      </c>
      <c r="L296" s="8">
        <v>10000</v>
      </c>
      <c r="M296" t="s">
        <v>31</v>
      </c>
      <c r="N296" s="11" t="str">
        <f>TEXT(tblSales[[#This Row],[Date]],"mmmm")</f>
        <v>July</v>
      </c>
      <c r="O296" s="11" t="str">
        <f>"Q"&amp;ROUNDUP(MONTH(tblSales[[#This Row],[Date]])/3,0)</f>
        <v>Q3</v>
      </c>
      <c r="P296" s="11">
        <f>YEAR(tblSales[[#This Row],[Date]])</f>
        <v>2024</v>
      </c>
      <c r="Q296" s="5">
        <f>tblSales[[#This Row],[Profit]]/tblSales[[#This Row],[Revenue]]</f>
        <v>0.15</v>
      </c>
      <c r="R296" s="8">
        <f>tblSales[[#This Row],[Revenue]]*1.1</f>
        <v>396000</v>
      </c>
    </row>
    <row r="297" spans="1:18">
      <c r="A297" t="s">
        <v>831</v>
      </c>
      <c r="B297" s="7">
        <v>45491</v>
      </c>
      <c r="C297" t="s">
        <v>19</v>
      </c>
      <c r="D297" t="s">
        <v>20</v>
      </c>
      <c r="E297" t="s">
        <v>327</v>
      </c>
      <c r="F297" t="s">
        <v>29</v>
      </c>
      <c r="G297" t="s">
        <v>832</v>
      </c>
      <c r="H297">
        <v>25</v>
      </c>
      <c r="I297" s="8">
        <v>1250000</v>
      </c>
      <c r="J297" s="8">
        <v>250000</v>
      </c>
      <c r="K297">
        <v>0</v>
      </c>
      <c r="L297" s="8">
        <v>30000</v>
      </c>
      <c r="M297" t="s">
        <v>24</v>
      </c>
      <c r="N297" s="11" t="str">
        <f>TEXT(tblSales[[#This Row],[Date]],"mmmm")</f>
        <v>July</v>
      </c>
      <c r="O297" s="11" t="str">
        <f>"Q"&amp;ROUNDUP(MONTH(tblSales[[#This Row],[Date]])/3,0)</f>
        <v>Q3</v>
      </c>
      <c r="P297" s="11">
        <f>YEAR(tblSales[[#This Row],[Date]])</f>
        <v>2024</v>
      </c>
      <c r="Q297" s="5">
        <f>tblSales[[#This Row],[Profit]]/tblSales[[#This Row],[Revenue]]</f>
        <v>0.2</v>
      </c>
      <c r="R297" s="8">
        <f>tblSales[[#This Row],[Revenue]]*1.1</f>
        <v>1375000</v>
      </c>
    </row>
    <row r="298" spans="1:18">
      <c r="A298" t="s">
        <v>833</v>
      </c>
      <c r="B298" s="7">
        <v>45492</v>
      </c>
      <c r="C298" t="s">
        <v>33</v>
      </c>
      <c r="D298" t="s">
        <v>54</v>
      </c>
      <c r="E298" t="s">
        <v>330</v>
      </c>
      <c r="F298" t="s">
        <v>36</v>
      </c>
      <c r="G298" t="s">
        <v>834</v>
      </c>
      <c r="H298">
        <v>600</v>
      </c>
      <c r="I298" s="8">
        <v>7500000</v>
      </c>
      <c r="J298" s="8">
        <v>1500000</v>
      </c>
      <c r="K298">
        <v>0</v>
      </c>
      <c r="L298" s="8">
        <v>250000</v>
      </c>
      <c r="M298" t="s">
        <v>38</v>
      </c>
      <c r="N298" s="11" t="str">
        <f>TEXT(tblSales[[#This Row],[Date]],"mmmm")</f>
        <v>July</v>
      </c>
      <c r="O298" s="11" t="str">
        <f>"Q"&amp;ROUNDUP(MONTH(tblSales[[#This Row],[Date]])/3,0)</f>
        <v>Q3</v>
      </c>
      <c r="P298" s="11">
        <f>YEAR(tblSales[[#This Row],[Date]])</f>
        <v>2024</v>
      </c>
      <c r="Q298" s="5">
        <f>tblSales[[#This Row],[Profit]]/tblSales[[#This Row],[Revenue]]</f>
        <v>0.2</v>
      </c>
      <c r="R298" s="8">
        <f>tblSales[[#This Row],[Revenue]]*1.1</f>
        <v>8250000</v>
      </c>
    </row>
    <row r="299" spans="1:18">
      <c r="A299" t="s">
        <v>835</v>
      </c>
      <c r="B299" s="7">
        <v>45492</v>
      </c>
      <c r="C299" t="s">
        <v>26</v>
      </c>
      <c r="D299" t="s">
        <v>71</v>
      </c>
      <c r="E299" t="s">
        <v>333</v>
      </c>
      <c r="F299" t="s">
        <v>22</v>
      </c>
      <c r="G299" t="s">
        <v>836</v>
      </c>
      <c r="H299">
        <v>500</v>
      </c>
      <c r="I299" s="8">
        <v>250000</v>
      </c>
      <c r="J299" s="8">
        <v>50000</v>
      </c>
      <c r="K299">
        <v>0</v>
      </c>
      <c r="L299" s="8">
        <v>10000</v>
      </c>
      <c r="M299" t="s">
        <v>24</v>
      </c>
      <c r="N299" s="11" t="str">
        <f>TEXT(tblSales[[#This Row],[Date]],"mmmm")</f>
        <v>July</v>
      </c>
      <c r="O299" s="11" t="str">
        <f>"Q"&amp;ROUNDUP(MONTH(tblSales[[#This Row],[Date]])/3,0)</f>
        <v>Q3</v>
      </c>
      <c r="P299" s="11">
        <f>YEAR(tblSales[[#This Row],[Date]])</f>
        <v>2024</v>
      </c>
      <c r="Q299" s="5">
        <f>tblSales[[#This Row],[Profit]]/tblSales[[#This Row],[Revenue]]</f>
        <v>0.2</v>
      </c>
      <c r="R299" s="8">
        <f>tblSales[[#This Row],[Revenue]]*1.1</f>
        <v>275000</v>
      </c>
    </row>
    <row r="300" spans="1:18">
      <c r="A300" t="s">
        <v>837</v>
      </c>
      <c r="B300" s="7">
        <v>45493</v>
      </c>
      <c r="C300" t="s">
        <v>40</v>
      </c>
      <c r="D300" t="s">
        <v>41</v>
      </c>
      <c r="E300" t="s">
        <v>336</v>
      </c>
      <c r="F300" t="s">
        <v>29</v>
      </c>
      <c r="G300" t="s">
        <v>838</v>
      </c>
      <c r="H300">
        <v>100</v>
      </c>
      <c r="I300" s="8">
        <v>300000</v>
      </c>
      <c r="J300" s="8">
        <v>60000</v>
      </c>
      <c r="K300">
        <v>0</v>
      </c>
      <c r="L300" s="8">
        <v>8000</v>
      </c>
      <c r="M300" t="s">
        <v>31</v>
      </c>
      <c r="N300" s="11" t="str">
        <f>TEXT(tblSales[[#This Row],[Date]],"mmmm")</f>
        <v>July</v>
      </c>
      <c r="O300" s="11" t="str">
        <f>"Q"&amp;ROUNDUP(MONTH(tblSales[[#This Row],[Date]])/3,0)</f>
        <v>Q3</v>
      </c>
      <c r="P300" s="11">
        <f>YEAR(tblSales[[#This Row],[Date]])</f>
        <v>2024</v>
      </c>
      <c r="Q300" s="5">
        <f>tblSales[[#This Row],[Profit]]/tblSales[[#This Row],[Revenue]]</f>
        <v>0.2</v>
      </c>
      <c r="R300" s="8">
        <f>tblSales[[#This Row],[Revenue]]*1.1</f>
        <v>330000</v>
      </c>
    </row>
    <row r="301" spans="1:18">
      <c r="A301" t="s">
        <v>839</v>
      </c>
      <c r="B301" s="7">
        <v>45493</v>
      </c>
      <c r="C301" t="s">
        <v>19</v>
      </c>
      <c r="D301" t="s">
        <v>100</v>
      </c>
      <c r="E301" t="s">
        <v>339</v>
      </c>
      <c r="F301" t="s">
        <v>43</v>
      </c>
      <c r="G301" t="s">
        <v>840</v>
      </c>
      <c r="H301">
        <v>20</v>
      </c>
      <c r="I301" s="8">
        <v>500000</v>
      </c>
      <c r="J301" s="8">
        <v>75000</v>
      </c>
      <c r="K301">
        <v>5</v>
      </c>
      <c r="L301" s="8">
        <v>12000</v>
      </c>
      <c r="M301" t="s">
        <v>24</v>
      </c>
      <c r="N301" s="11" t="str">
        <f>TEXT(tblSales[[#This Row],[Date]],"mmmm")</f>
        <v>July</v>
      </c>
      <c r="O301" s="11" t="str">
        <f>"Q"&amp;ROUNDUP(MONTH(tblSales[[#This Row],[Date]])/3,0)</f>
        <v>Q3</v>
      </c>
      <c r="P301" s="11">
        <f>YEAR(tblSales[[#This Row],[Date]])</f>
        <v>2024</v>
      </c>
      <c r="Q301" s="5">
        <f>tblSales[[#This Row],[Profit]]/tblSales[[#This Row],[Revenue]]</f>
        <v>0.15</v>
      </c>
      <c r="R301" s="8">
        <f>tblSales[[#This Row],[Revenue]]*1.1</f>
        <v>550000</v>
      </c>
    </row>
    <row r="302" spans="1:18">
      <c r="A302" t="s">
        <v>841</v>
      </c>
      <c r="B302" s="7">
        <v>45494</v>
      </c>
      <c r="C302" t="s">
        <v>33</v>
      </c>
      <c r="D302" t="s">
        <v>34</v>
      </c>
      <c r="E302" t="s">
        <v>342</v>
      </c>
      <c r="F302" t="s">
        <v>36</v>
      </c>
      <c r="G302" t="s">
        <v>842</v>
      </c>
      <c r="H302">
        <v>400</v>
      </c>
      <c r="I302" s="8">
        <v>4000000</v>
      </c>
      <c r="J302" s="8">
        <v>800000</v>
      </c>
      <c r="K302">
        <v>0</v>
      </c>
      <c r="L302" s="8">
        <v>150000</v>
      </c>
      <c r="M302" t="s">
        <v>38</v>
      </c>
      <c r="N302" s="11" t="str">
        <f>TEXT(tblSales[[#This Row],[Date]],"mmmm")</f>
        <v>July</v>
      </c>
      <c r="O302" s="11" t="str">
        <f>"Q"&amp;ROUNDUP(MONTH(tblSales[[#This Row],[Date]])/3,0)</f>
        <v>Q3</v>
      </c>
      <c r="P302" s="11">
        <f>YEAR(tblSales[[#This Row],[Date]])</f>
        <v>2024</v>
      </c>
      <c r="Q302" s="5">
        <f>tblSales[[#This Row],[Profit]]/tblSales[[#This Row],[Revenue]]</f>
        <v>0.2</v>
      </c>
      <c r="R302" s="8">
        <f>tblSales[[#This Row],[Revenue]]*1.1</f>
        <v>4400000</v>
      </c>
    </row>
    <row r="303" spans="1:18">
      <c r="A303" t="s">
        <v>843</v>
      </c>
      <c r="B303" s="7">
        <v>45494</v>
      </c>
      <c r="C303" t="s">
        <v>26</v>
      </c>
      <c r="D303" t="s">
        <v>27</v>
      </c>
      <c r="E303" t="s">
        <v>345</v>
      </c>
      <c r="F303" t="s">
        <v>22</v>
      </c>
      <c r="G303" t="s">
        <v>844</v>
      </c>
      <c r="H303">
        <v>200</v>
      </c>
      <c r="I303" s="8">
        <v>2000000</v>
      </c>
      <c r="J303" s="8">
        <v>400000</v>
      </c>
      <c r="K303">
        <v>0</v>
      </c>
      <c r="L303" s="8">
        <v>50000</v>
      </c>
      <c r="M303" t="s">
        <v>24</v>
      </c>
      <c r="N303" s="11" t="str">
        <f>TEXT(tblSales[[#This Row],[Date]],"mmmm")</f>
        <v>July</v>
      </c>
      <c r="O303" s="11" t="str">
        <f>"Q"&amp;ROUNDUP(MONTH(tblSales[[#This Row],[Date]])/3,0)</f>
        <v>Q3</v>
      </c>
      <c r="P303" s="11">
        <f>YEAR(tblSales[[#This Row],[Date]])</f>
        <v>2024</v>
      </c>
      <c r="Q303" s="5">
        <f>tblSales[[#This Row],[Profit]]/tblSales[[#This Row],[Revenue]]</f>
        <v>0.2</v>
      </c>
      <c r="R303" s="8">
        <f>tblSales[[#This Row],[Revenue]]*1.1</f>
        <v>2200000</v>
      </c>
    </row>
    <row r="304" spans="1:18">
      <c r="A304" t="s">
        <v>845</v>
      </c>
      <c r="B304" s="7">
        <v>45495</v>
      </c>
      <c r="C304" t="s">
        <v>40</v>
      </c>
      <c r="D304" t="s">
        <v>126</v>
      </c>
      <c r="E304" t="s">
        <v>348</v>
      </c>
      <c r="F304" t="s">
        <v>29</v>
      </c>
      <c r="G304" t="s">
        <v>846</v>
      </c>
      <c r="H304">
        <v>5000</v>
      </c>
      <c r="I304" s="8">
        <v>1250000</v>
      </c>
      <c r="J304" s="8">
        <v>250000</v>
      </c>
      <c r="K304">
        <v>0</v>
      </c>
      <c r="L304" s="8">
        <v>100000</v>
      </c>
      <c r="M304" t="s">
        <v>31</v>
      </c>
      <c r="N304" s="11" t="str">
        <f>TEXT(tblSales[[#This Row],[Date]],"mmmm")</f>
        <v>July</v>
      </c>
      <c r="O304" s="11" t="str">
        <f>"Q"&amp;ROUNDUP(MONTH(tblSales[[#This Row],[Date]])/3,0)</f>
        <v>Q3</v>
      </c>
      <c r="P304" s="11">
        <f>YEAR(tblSales[[#This Row],[Date]])</f>
        <v>2024</v>
      </c>
      <c r="Q304" s="5">
        <f>tblSales[[#This Row],[Profit]]/tblSales[[#This Row],[Revenue]]</f>
        <v>0.2</v>
      </c>
      <c r="R304" s="8">
        <f>tblSales[[#This Row],[Revenue]]*1.1</f>
        <v>1375000</v>
      </c>
    </row>
    <row r="305" spans="1:18">
      <c r="A305" t="s">
        <v>847</v>
      </c>
      <c r="B305" s="7">
        <v>45495</v>
      </c>
      <c r="C305" t="s">
        <v>19</v>
      </c>
      <c r="D305" t="s">
        <v>20</v>
      </c>
      <c r="E305" t="s">
        <v>351</v>
      </c>
      <c r="F305" t="s">
        <v>43</v>
      </c>
      <c r="G305" t="s">
        <v>848</v>
      </c>
      <c r="H305">
        <v>10</v>
      </c>
      <c r="I305" s="8">
        <v>500000</v>
      </c>
      <c r="J305" s="8">
        <v>75000</v>
      </c>
      <c r="K305">
        <v>10</v>
      </c>
      <c r="L305" s="8">
        <v>15000</v>
      </c>
      <c r="M305" t="s">
        <v>24</v>
      </c>
      <c r="N305" s="11" t="str">
        <f>TEXT(tblSales[[#This Row],[Date]],"mmmm")</f>
        <v>July</v>
      </c>
      <c r="O305" s="11" t="str">
        <f>"Q"&amp;ROUNDUP(MONTH(tblSales[[#This Row],[Date]])/3,0)</f>
        <v>Q3</v>
      </c>
      <c r="P305" s="11">
        <f>YEAR(tblSales[[#This Row],[Date]])</f>
        <v>2024</v>
      </c>
      <c r="Q305" s="5">
        <f>tblSales[[#This Row],[Profit]]/tblSales[[#This Row],[Revenue]]</f>
        <v>0.15</v>
      </c>
      <c r="R305" s="8">
        <f>tblSales[[#This Row],[Revenue]]*1.1</f>
        <v>550000</v>
      </c>
    </row>
    <row r="306" spans="1:18">
      <c r="A306" t="s">
        <v>849</v>
      </c>
      <c r="B306" s="7">
        <v>45496</v>
      </c>
      <c r="C306" t="s">
        <v>33</v>
      </c>
      <c r="D306" t="s">
        <v>54</v>
      </c>
      <c r="E306" t="s">
        <v>354</v>
      </c>
      <c r="F306" t="s">
        <v>36</v>
      </c>
      <c r="G306" t="s">
        <v>850</v>
      </c>
      <c r="H306">
        <v>250</v>
      </c>
      <c r="I306" s="8">
        <v>2000000</v>
      </c>
      <c r="J306" s="8">
        <v>400000</v>
      </c>
      <c r="K306">
        <v>0</v>
      </c>
      <c r="L306" s="8">
        <v>80000</v>
      </c>
      <c r="M306" t="s">
        <v>38</v>
      </c>
      <c r="N306" s="11" t="str">
        <f>TEXT(tblSales[[#This Row],[Date]],"mmmm")</f>
        <v>July</v>
      </c>
      <c r="O306" s="11" t="str">
        <f>"Q"&amp;ROUNDUP(MONTH(tblSales[[#This Row],[Date]])/3,0)</f>
        <v>Q3</v>
      </c>
      <c r="P306" s="11">
        <f>YEAR(tblSales[[#This Row],[Date]])</f>
        <v>2024</v>
      </c>
      <c r="Q306" s="5">
        <f>tblSales[[#This Row],[Profit]]/tblSales[[#This Row],[Revenue]]</f>
        <v>0.2</v>
      </c>
      <c r="R306" s="8">
        <f>tblSales[[#This Row],[Revenue]]*1.1</f>
        <v>2200000</v>
      </c>
    </row>
    <row r="307" spans="1:18">
      <c r="A307" t="s">
        <v>851</v>
      </c>
      <c r="B307" s="7">
        <v>45496</v>
      </c>
      <c r="C307" t="s">
        <v>26</v>
      </c>
      <c r="D307" t="s">
        <v>46</v>
      </c>
      <c r="E307" t="s">
        <v>357</v>
      </c>
      <c r="F307" t="s">
        <v>22</v>
      </c>
      <c r="G307" t="s">
        <v>852</v>
      </c>
      <c r="H307">
        <v>300</v>
      </c>
      <c r="I307" s="8">
        <v>300000</v>
      </c>
      <c r="J307" s="8">
        <v>60000</v>
      </c>
      <c r="K307">
        <v>0</v>
      </c>
      <c r="L307" s="8">
        <v>5000</v>
      </c>
      <c r="M307" t="s">
        <v>24</v>
      </c>
      <c r="N307" s="11" t="str">
        <f>TEXT(tblSales[[#This Row],[Date]],"mmmm")</f>
        <v>July</v>
      </c>
      <c r="O307" s="11" t="str">
        <f>"Q"&amp;ROUNDUP(MONTH(tblSales[[#This Row],[Date]])/3,0)</f>
        <v>Q3</v>
      </c>
      <c r="P307" s="11">
        <f>YEAR(tblSales[[#This Row],[Date]])</f>
        <v>2024</v>
      </c>
      <c r="Q307" s="5">
        <f>tblSales[[#This Row],[Profit]]/tblSales[[#This Row],[Revenue]]</f>
        <v>0.2</v>
      </c>
      <c r="R307" s="8">
        <f>tblSales[[#This Row],[Revenue]]*1.1</f>
        <v>330000</v>
      </c>
    </row>
    <row r="308" spans="1:18">
      <c r="A308" t="s">
        <v>853</v>
      </c>
      <c r="B308" s="7">
        <v>45497</v>
      </c>
      <c r="C308" t="s">
        <v>40</v>
      </c>
      <c r="D308" t="s">
        <v>41</v>
      </c>
      <c r="E308" t="s">
        <v>360</v>
      </c>
      <c r="F308" t="s">
        <v>29</v>
      </c>
      <c r="G308" t="s">
        <v>854</v>
      </c>
      <c r="H308">
        <v>150</v>
      </c>
      <c r="I308" s="8">
        <v>450000</v>
      </c>
      <c r="J308" s="8">
        <v>90000</v>
      </c>
      <c r="K308">
        <v>0</v>
      </c>
      <c r="L308" s="8">
        <v>10000</v>
      </c>
      <c r="M308" t="s">
        <v>31</v>
      </c>
      <c r="N308" s="11" t="str">
        <f>TEXT(tblSales[[#This Row],[Date]],"mmmm")</f>
        <v>July</v>
      </c>
      <c r="O308" s="11" t="str">
        <f>"Q"&amp;ROUNDUP(MONTH(tblSales[[#This Row],[Date]])/3,0)</f>
        <v>Q3</v>
      </c>
      <c r="P308" s="11">
        <f>YEAR(tblSales[[#This Row],[Date]])</f>
        <v>2024</v>
      </c>
      <c r="Q308" s="5">
        <f>tblSales[[#This Row],[Profit]]/tblSales[[#This Row],[Revenue]]</f>
        <v>0.2</v>
      </c>
      <c r="R308" s="8">
        <f>tblSales[[#This Row],[Revenue]]*1.1</f>
        <v>495000</v>
      </c>
    </row>
    <row r="309" spans="1:18">
      <c r="A309" t="s">
        <v>855</v>
      </c>
      <c r="B309" s="7">
        <v>45497</v>
      </c>
      <c r="C309" t="s">
        <v>19</v>
      </c>
      <c r="D309" t="s">
        <v>50</v>
      </c>
      <c r="E309" t="s">
        <v>363</v>
      </c>
      <c r="F309" t="s">
        <v>43</v>
      </c>
      <c r="G309" t="s">
        <v>856</v>
      </c>
      <c r="H309">
        <v>12</v>
      </c>
      <c r="I309" s="8">
        <v>720000</v>
      </c>
      <c r="J309" s="8">
        <v>108000</v>
      </c>
      <c r="K309">
        <v>5</v>
      </c>
      <c r="L309" s="8">
        <v>20000</v>
      </c>
      <c r="M309" t="s">
        <v>24</v>
      </c>
      <c r="N309" s="11" t="str">
        <f>TEXT(tblSales[[#This Row],[Date]],"mmmm")</f>
        <v>July</v>
      </c>
      <c r="O309" s="11" t="str">
        <f>"Q"&amp;ROUNDUP(MONTH(tblSales[[#This Row],[Date]])/3,0)</f>
        <v>Q3</v>
      </c>
      <c r="P309" s="11">
        <f>YEAR(tblSales[[#This Row],[Date]])</f>
        <v>2024</v>
      </c>
      <c r="Q309" s="5">
        <f>tblSales[[#This Row],[Profit]]/tblSales[[#This Row],[Revenue]]</f>
        <v>0.15</v>
      </c>
      <c r="R309" s="8">
        <f>tblSales[[#This Row],[Revenue]]*1.1</f>
        <v>792000</v>
      </c>
    </row>
    <row r="310" spans="1:18">
      <c r="A310" t="s">
        <v>857</v>
      </c>
      <c r="B310" s="7">
        <v>45498</v>
      </c>
      <c r="C310" t="s">
        <v>33</v>
      </c>
      <c r="D310" t="s">
        <v>34</v>
      </c>
      <c r="E310" t="s">
        <v>366</v>
      </c>
      <c r="F310" t="s">
        <v>36</v>
      </c>
      <c r="G310" t="s">
        <v>858</v>
      </c>
      <c r="H310">
        <v>400</v>
      </c>
      <c r="I310" s="8">
        <v>2800000</v>
      </c>
      <c r="J310" s="8">
        <v>560000</v>
      </c>
      <c r="K310">
        <v>0</v>
      </c>
      <c r="L310" s="8">
        <v>100000</v>
      </c>
      <c r="M310" t="s">
        <v>38</v>
      </c>
      <c r="N310" s="11" t="str">
        <f>TEXT(tblSales[[#This Row],[Date]],"mmmm")</f>
        <v>July</v>
      </c>
      <c r="O310" s="11" t="str">
        <f>"Q"&amp;ROUNDUP(MONTH(tblSales[[#This Row],[Date]])/3,0)</f>
        <v>Q3</v>
      </c>
      <c r="P310" s="11">
        <f>YEAR(tblSales[[#This Row],[Date]])</f>
        <v>2024</v>
      </c>
      <c r="Q310" s="5">
        <f>tblSales[[#This Row],[Profit]]/tblSales[[#This Row],[Revenue]]</f>
        <v>0.2</v>
      </c>
      <c r="R310" s="8">
        <f>tblSales[[#This Row],[Revenue]]*1.1</f>
        <v>3080000</v>
      </c>
    </row>
    <row r="311" spans="1:18">
      <c r="A311" t="s">
        <v>859</v>
      </c>
      <c r="B311" s="7">
        <v>45498</v>
      </c>
      <c r="C311" t="s">
        <v>26</v>
      </c>
      <c r="D311" t="s">
        <v>27</v>
      </c>
      <c r="E311" t="s">
        <v>369</v>
      </c>
      <c r="F311" t="s">
        <v>22</v>
      </c>
      <c r="G311" t="s">
        <v>860</v>
      </c>
      <c r="H311">
        <v>150</v>
      </c>
      <c r="I311" s="8">
        <v>450000</v>
      </c>
      <c r="J311" s="8">
        <v>90000</v>
      </c>
      <c r="K311">
        <v>0</v>
      </c>
      <c r="L311" s="8">
        <v>15000</v>
      </c>
      <c r="M311" t="s">
        <v>24</v>
      </c>
      <c r="N311" s="11" t="str">
        <f>TEXT(tblSales[[#This Row],[Date]],"mmmm")</f>
        <v>July</v>
      </c>
      <c r="O311" s="11" t="str">
        <f>"Q"&amp;ROUNDUP(MONTH(tblSales[[#This Row],[Date]])/3,0)</f>
        <v>Q3</v>
      </c>
      <c r="P311" s="11">
        <f>YEAR(tblSales[[#This Row],[Date]])</f>
        <v>2024</v>
      </c>
      <c r="Q311" s="5">
        <f>tblSales[[#This Row],[Profit]]/tblSales[[#This Row],[Revenue]]</f>
        <v>0.2</v>
      </c>
      <c r="R311" s="8">
        <f>tblSales[[#This Row],[Revenue]]*1.1</f>
        <v>495000</v>
      </c>
    </row>
    <row r="312" spans="1:18">
      <c r="A312" t="s">
        <v>861</v>
      </c>
      <c r="B312" s="7">
        <v>45499</v>
      </c>
      <c r="C312" t="s">
        <v>40</v>
      </c>
      <c r="D312" t="s">
        <v>93</v>
      </c>
      <c r="E312" t="s">
        <v>372</v>
      </c>
      <c r="F312" t="s">
        <v>29</v>
      </c>
      <c r="G312" t="s">
        <v>862</v>
      </c>
      <c r="H312">
        <v>80</v>
      </c>
      <c r="I312" s="8">
        <v>320000</v>
      </c>
      <c r="J312" s="8">
        <v>64000</v>
      </c>
      <c r="K312">
        <v>0</v>
      </c>
      <c r="L312" s="8">
        <v>8000</v>
      </c>
      <c r="M312" t="s">
        <v>31</v>
      </c>
      <c r="N312" s="11" t="str">
        <f>TEXT(tblSales[[#This Row],[Date]],"mmmm")</f>
        <v>July</v>
      </c>
      <c r="O312" s="11" t="str">
        <f>"Q"&amp;ROUNDUP(MONTH(tblSales[[#This Row],[Date]])/3,0)</f>
        <v>Q3</v>
      </c>
      <c r="P312" s="11">
        <f>YEAR(tblSales[[#This Row],[Date]])</f>
        <v>2024</v>
      </c>
      <c r="Q312" s="5">
        <f>tblSales[[#This Row],[Profit]]/tblSales[[#This Row],[Revenue]]</f>
        <v>0.2</v>
      </c>
      <c r="R312" s="8">
        <f>tblSales[[#This Row],[Revenue]]*1.1</f>
        <v>352000</v>
      </c>
    </row>
    <row r="313" spans="1:18">
      <c r="A313" t="s">
        <v>863</v>
      </c>
      <c r="B313" s="7">
        <v>45499</v>
      </c>
      <c r="C313" t="s">
        <v>19</v>
      </c>
      <c r="D313" t="s">
        <v>20</v>
      </c>
      <c r="E313" t="s">
        <v>375</v>
      </c>
      <c r="F313" t="s">
        <v>43</v>
      </c>
      <c r="G313" t="s">
        <v>864</v>
      </c>
      <c r="H313">
        <v>6</v>
      </c>
      <c r="I313" s="8">
        <v>300000</v>
      </c>
      <c r="J313" s="8">
        <v>45000</v>
      </c>
      <c r="K313">
        <v>5</v>
      </c>
      <c r="L313" s="8">
        <v>10000</v>
      </c>
      <c r="M313" t="s">
        <v>24</v>
      </c>
      <c r="N313" s="11" t="str">
        <f>TEXT(tblSales[[#This Row],[Date]],"mmmm")</f>
        <v>July</v>
      </c>
      <c r="O313" s="11" t="str">
        <f>"Q"&amp;ROUNDUP(MONTH(tblSales[[#This Row],[Date]])/3,0)</f>
        <v>Q3</v>
      </c>
      <c r="P313" s="11">
        <f>YEAR(tblSales[[#This Row],[Date]])</f>
        <v>2024</v>
      </c>
      <c r="Q313" s="5">
        <f>tblSales[[#This Row],[Profit]]/tblSales[[#This Row],[Revenue]]</f>
        <v>0.15</v>
      </c>
      <c r="R313" s="8">
        <f>tblSales[[#This Row],[Revenue]]*1.1</f>
        <v>330000</v>
      </c>
    </row>
    <row r="314" spans="1:18">
      <c r="A314" t="s">
        <v>865</v>
      </c>
      <c r="B314" s="7">
        <v>45500</v>
      </c>
      <c r="C314" t="s">
        <v>33</v>
      </c>
      <c r="D314" t="s">
        <v>54</v>
      </c>
      <c r="E314" t="s">
        <v>378</v>
      </c>
      <c r="F314" t="s">
        <v>36</v>
      </c>
      <c r="G314" t="s">
        <v>866</v>
      </c>
      <c r="H314">
        <v>300</v>
      </c>
      <c r="I314" s="8">
        <v>900000</v>
      </c>
      <c r="J314" s="8">
        <v>180000</v>
      </c>
      <c r="K314">
        <v>0</v>
      </c>
      <c r="L314" s="8">
        <v>40000</v>
      </c>
      <c r="M314" t="s">
        <v>38</v>
      </c>
      <c r="N314" s="11" t="str">
        <f>TEXT(tblSales[[#This Row],[Date]],"mmmm")</f>
        <v>July</v>
      </c>
      <c r="O314" s="11" t="str">
        <f>"Q"&amp;ROUNDUP(MONTH(tblSales[[#This Row],[Date]])/3,0)</f>
        <v>Q3</v>
      </c>
      <c r="P314" s="11">
        <f>YEAR(tblSales[[#This Row],[Date]])</f>
        <v>2024</v>
      </c>
      <c r="Q314" s="5">
        <f>tblSales[[#This Row],[Profit]]/tblSales[[#This Row],[Revenue]]</f>
        <v>0.2</v>
      </c>
      <c r="R314" s="8">
        <f>tblSales[[#This Row],[Revenue]]*1.1</f>
        <v>990000</v>
      </c>
    </row>
    <row r="315" spans="1:18">
      <c r="A315" t="s">
        <v>867</v>
      </c>
      <c r="B315" s="7">
        <v>45500</v>
      </c>
      <c r="C315" t="s">
        <v>26</v>
      </c>
      <c r="D315" t="s">
        <v>71</v>
      </c>
      <c r="E315" t="s">
        <v>381</v>
      </c>
      <c r="F315" t="s">
        <v>22</v>
      </c>
      <c r="G315" t="s">
        <v>868</v>
      </c>
      <c r="H315">
        <v>80</v>
      </c>
      <c r="I315" s="8">
        <v>400000</v>
      </c>
      <c r="J315" s="8">
        <v>80000</v>
      </c>
      <c r="K315">
        <v>0</v>
      </c>
      <c r="L315" s="8">
        <v>10000</v>
      </c>
      <c r="M315" t="s">
        <v>24</v>
      </c>
      <c r="N315" s="11" t="str">
        <f>TEXT(tblSales[[#This Row],[Date]],"mmmm")</f>
        <v>July</v>
      </c>
      <c r="O315" s="11" t="str">
        <f>"Q"&amp;ROUNDUP(MONTH(tblSales[[#This Row],[Date]])/3,0)</f>
        <v>Q3</v>
      </c>
      <c r="P315" s="11">
        <f>YEAR(tblSales[[#This Row],[Date]])</f>
        <v>2024</v>
      </c>
      <c r="Q315" s="5">
        <f>tblSales[[#This Row],[Profit]]/tblSales[[#This Row],[Revenue]]</f>
        <v>0.2</v>
      </c>
      <c r="R315" s="8">
        <f>tblSales[[#This Row],[Revenue]]*1.1</f>
        <v>440000</v>
      </c>
    </row>
    <row r="316" spans="1:18">
      <c r="A316" t="s">
        <v>869</v>
      </c>
      <c r="B316" s="7">
        <v>45501</v>
      </c>
      <c r="C316" t="s">
        <v>40</v>
      </c>
      <c r="D316" t="s">
        <v>61</v>
      </c>
      <c r="E316" t="s">
        <v>384</v>
      </c>
      <c r="F316" t="s">
        <v>29</v>
      </c>
      <c r="G316" t="s">
        <v>870</v>
      </c>
      <c r="H316">
        <v>250</v>
      </c>
      <c r="I316" s="8">
        <v>250000</v>
      </c>
      <c r="J316" s="8">
        <v>50000</v>
      </c>
      <c r="K316">
        <v>0</v>
      </c>
      <c r="L316" s="8">
        <v>5000</v>
      </c>
      <c r="M316" t="s">
        <v>31</v>
      </c>
      <c r="N316" s="11" t="str">
        <f>TEXT(tblSales[[#This Row],[Date]],"mmmm")</f>
        <v>July</v>
      </c>
      <c r="O316" s="11" t="str">
        <f>"Q"&amp;ROUNDUP(MONTH(tblSales[[#This Row],[Date]])/3,0)</f>
        <v>Q3</v>
      </c>
      <c r="P316" s="11">
        <f>YEAR(tblSales[[#This Row],[Date]])</f>
        <v>2024</v>
      </c>
      <c r="Q316" s="5">
        <f>tblSales[[#This Row],[Profit]]/tblSales[[#This Row],[Revenue]]</f>
        <v>0.2</v>
      </c>
      <c r="R316" s="8">
        <f>tblSales[[#This Row],[Revenue]]*1.1</f>
        <v>275000</v>
      </c>
    </row>
    <row r="317" spans="1:18">
      <c r="A317" t="s">
        <v>871</v>
      </c>
      <c r="B317" s="7">
        <v>45501</v>
      </c>
      <c r="C317" t="s">
        <v>19</v>
      </c>
      <c r="D317" t="s">
        <v>100</v>
      </c>
      <c r="E317" t="s">
        <v>387</v>
      </c>
      <c r="F317" t="s">
        <v>43</v>
      </c>
      <c r="G317" t="s">
        <v>872</v>
      </c>
      <c r="H317">
        <v>100</v>
      </c>
      <c r="I317" s="8">
        <v>300000</v>
      </c>
      <c r="J317" s="8">
        <v>45000</v>
      </c>
      <c r="K317">
        <v>0</v>
      </c>
      <c r="L317" s="8">
        <v>15000</v>
      </c>
      <c r="M317" t="s">
        <v>24</v>
      </c>
      <c r="N317" s="11" t="str">
        <f>TEXT(tblSales[[#This Row],[Date]],"mmmm")</f>
        <v>July</v>
      </c>
      <c r="O317" s="11" t="str">
        <f>"Q"&amp;ROUNDUP(MONTH(tblSales[[#This Row],[Date]])/3,0)</f>
        <v>Q3</v>
      </c>
      <c r="P317" s="11">
        <f>YEAR(tblSales[[#This Row],[Date]])</f>
        <v>2024</v>
      </c>
      <c r="Q317" s="5">
        <f>tblSales[[#This Row],[Profit]]/tblSales[[#This Row],[Revenue]]</f>
        <v>0.15</v>
      </c>
      <c r="R317" s="8">
        <f>tblSales[[#This Row],[Revenue]]*1.1</f>
        <v>330000</v>
      </c>
    </row>
    <row r="318" spans="1:18">
      <c r="A318" t="s">
        <v>873</v>
      </c>
      <c r="B318" s="7">
        <v>45502</v>
      </c>
      <c r="C318" t="s">
        <v>33</v>
      </c>
      <c r="D318" t="s">
        <v>34</v>
      </c>
      <c r="E318" t="s">
        <v>390</v>
      </c>
      <c r="F318" t="s">
        <v>36</v>
      </c>
      <c r="G318" t="s">
        <v>874</v>
      </c>
      <c r="H318">
        <v>300</v>
      </c>
      <c r="I318" s="8">
        <v>2100000</v>
      </c>
      <c r="J318" s="8">
        <v>420000</v>
      </c>
      <c r="K318">
        <v>0</v>
      </c>
      <c r="L318" s="8">
        <v>80000</v>
      </c>
      <c r="M318" t="s">
        <v>38</v>
      </c>
      <c r="N318" s="11" t="str">
        <f>TEXT(tblSales[[#This Row],[Date]],"mmmm")</f>
        <v>July</v>
      </c>
      <c r="O318" s="11" t="str">
        <f>"Q"&amp;ROUNDUP(MONTH(tblSales[[#This Row],[Date]])/3,0)</f>
        <v>Q3</v>
      </c>
      <c r="P318" s="11">
        <f>YEAR(tblSales[[#This Row],[Date]])</f>
        <v>2024</v>
      </c>
      <c r="Q318" s="5">
        <f>tblSales[[#This Row],[Profit]]/tblSales[[#This Row],[Revenue]]</f>
        <v>0.2</v>
      </c>
      <c r="R318" s="8">
        <f>tblSales[[#This Row],[Revenue]]*1.1</f>
        <v>2310000</v>
      </c>
    </row>
    <row r="319" spans="1:18">
      <c r="A319" t="s">
        <v>875</v>
      </c>
      <c r="B319" s="7">
        <v>45502</v>
      </c>
      <c r="C319" t="s">
        <v>26</v>
      </c>
      <c r="D319" t="s">
        <v>27</v>
      </c>
      <c r="E319" t="s">
        <v>393</v>
      </c>
      <c r="F319" t="s">
        <v>22</v>
      </c>
      <c r="G319" t="s">
        <v>876</v>
      </c>
      <c r="H319">
        <v>25</v>
      </c>
      <c r="I319" s="8">
        <v>375000</v>
      </c>
      <c r="J319" s="8">
        <v>75000</v>
      </c>
      <c r="K319">
        <v>0</v>
      </c>
      <c r="L319" s="8">
        <v>10000</v>
      </c>
      <c r="M319" t="s">
        <v>24</v>
      </c>
      <c r="N319" s="11" t="str">
        <f>TEXT(tblSales[[#This Row],[Date]],"mmmm")</f>
        <v>July</v>
      </c>
      <c r="O319" s="11" t="str">
        <f>"Q"&amp;ROUNDUP(MONTH(tblSales[[#This Row],[Date]])/3,0)</f>
        <v>Q3</v>
      </c>
      <c r="P319" s="11">
        <f>YEAR(tblSales[[#This Row],[Date]])</f>
        <v>2024</v>
      </c>
      <c r="Q319" s="5">
        <f>tblSales[[#This Row],[Profit]]/tblSales[[#This Row],[Revenue]]</f>
        <v>0.2</v>
      </c>
      <c r="R319" s="8">
        <f>tblSales[[#This Row],[Revenue]]*1.1</f>
        <v>412500</v>
      </c>
    </row>
    <row r="320" spans="1:18">
      <c r="A320" t="s">
        <v>877</v>
      </c>
      <c r="B320" s="7">
        <v>45503</v>
      </c>
      <c r="C320" t="s">
        <v>40</v>
      </c>
      <c r="D320" t="s">
        <v>41</v>
      </c>
      <c r="E320" t="s">
        <v>396</v>
      </c>
      <c r="F320" t="s">
        <v>29</v>
      </c>
      <c r="G320" t="s">
        <v>878</v>
      </c>
      <c r="H320">
        <v>180</v>
      </c>
      <c r="I320" s="8">
        <v>270000</v>
      </c>
      <c r="J320" s="8">
        <v>54000</v>
      </c>
      <c r="K320">
        <v>0</v>
      </c>
      <c r="L320" s="8">
        <v>6000</v>
      </c>
      <c r="M320" t="s">
        <v>31</v>
      </c>
      <c r="N320" s="11" t="str">
        <f>TEXT(tblSales[[#This Row],[Date]],"mmmm")</f>
        <v>July</v>
      </c>
      <c r="O320" s="11" t="str">
        <f>"Q"&amp;ROUNDUP(MONTH(tblSales[[#This Row],[Date]])/3,0)</f>
        <v>Q3</v>
      </c>
      <c r="P320" s="11">
        <f>YEAR(tblSales[[#This Row],[Date]])</f>
        <v>2024</v>
      </c>
      <c r="Q320" s="5">
        <f>tblSales[[#This Row],[Profit]]/tblSales[[#This Row],[Revenue]]</f>
        <v>0.2</v>
      </c>
      <c r="R320" s="8">
        <f>tblSales[[#This Row],[Revenue]]*1.1</f>
        <v>297000</v>
      </c>
    </row>
    <row r="321" spans="1:18">
      <c r="A321" t="s">
        <v>879</v>
      </c>
      <c r="B321" s="7">
        <v>45503</v>
      </c>
      <c r="C321" t="s">
        <v>19</v>
      </c>
      <c r="D321" t="s">
        <v>50</v>
      </c>
      <c r="E321" t="s">
        <v>399</v>
      </c>
      <c r="F321" t="s">
        <v>43</v>
      </c>
      <c r="G321" t="s">
        <v>880</v>
      </c>
      <c r="H321">
        <v>20</v>
      </c>
      <c r="I321" s="8">
        <v>300000</v>
      </c>
      <c r="J321" s="8">
        <v>45000</v>
      </c>
      <c r="K321">
        <v>5</v>
      </c>
      <c r="L321" s="8">
        <v>8000</v>
      </c>
      <c r="M321" t="s">
        <v>24</v>
      </c>
      <c r="N321" s="11" t="str">
        <f>TEXT(tblSales[[#This Row],[Date]],"mmmm")</f>
        <v>July</v>
      </c>
      <c r="O321" s="11" t="str">
        <f>"Q"&amp;ROUNDUP(MONTH(tblSales[[#This Row],[Date]])/3,0)</f>
        <v>Q3</v>
      </c>
      <c r="P321" s="11">
        <f>YEAR(tblSales[[#This Row],[Date]])</f>
        <v>2024</v>
      </c>
      <c r="Q321" s="5">
        <f>tblSales[[#This Row],[Profit]]/tblSales[[#This Row],[Revenue]]</f>
        <v>0.15</v>
      </c>
      <c r="R321" s="8">
        <f>tblSales[[#This Row],[Revenue]]*1.1</f>
        <v>330000</v>
      </c>
    </row>
    <row r="322" spans="1:18">
      <c r="A322" t="s">
        <v>881</v>
      </c>
      <c r="B322" s="7">
        <v>45504</v>
      </c>
      <c r="C322" t="s">
        <v>33</v>
      </c>
      <c r="D322" t="s">
        <v>54</v>
      </c>
      <c r="E322" t="s">
        <v>402</v>
      </c>
      <c r="F322" t="s">
        <v>36</v>
      </c>
      <c r="G322" t="s">
        <v>882</v>
      </c>
      <c r="H322">
        <v>250</v>
      </c>
      <c r="I322" s="8">
        <v>2500000</v>
      </c>
      <c r="J322" s="8">
        <v>500000</v>
      </c>
      <c r="K322">
        <v>0</v>
      </c>
      <c r="L322" s="8">
        <v>100000</v>
      </c>
      <c r="M322" t="s">
        <v>38</v>
      </c>
      <c r="N322" s="11" t="str">
        <f>TEXT(tblSales[[#This Row],[Date]],"mmmm")</f>
        <v>July</v>
      </c>
      <c r="O322" s="11" t="str">
        <f>"Q"&amp;ROUNDUP(MONTH(tblSales[[#This Row],[Date]])/3,0)</f>
        <v>Q3</v>
      </c>
      <c r="P322" s="11">
        <f>YEAR(tblSales[[#This Row],[Date]])</f>
        <v>2024</v>
      </c>
      <c r="Q322" s="5">
        <f>tblSales[[#This Row],[Profit]]/tblSales[[#This Row],[Revenue]]</f>
        <v>0.2</v>
      </c>
      <c r="R322" s="8">
        <f>tblSales[[#This Row],[Revenue]]*1.1</f>
        <v>2750000</v>
      </c>
    </row>
    <row r="323" spans="1:18">
      <c r="A323" t="s">
        <v>883</v>
      </c>
      <c r="B323" s="7">
        <v>45504</v>
      </c>
      <c r="C323" t="s">
        <v>26</v>
      </c>
      <c r="D323" t="s">
        <v>46</v>
      </c>
      <c r="E323" t="s">
        <v>405</v>
      </c>
      <c r="F323" t="s">
        <v>22</v>
      </c>
      <c r="G323" t="s">
        <v>884</v>
      </c>
      <c r="H323">
        <v>500</v>
      </c>
      <c r="I323" s="8">
        <v>250000</v>
      </c>
      <c r="J323" s="8">
        <v>50000</v>
      </c>
      <c r="K323">
        <v>0</v>
      </c>
      <c r="L323" s="8">
        <v>10000</v>
      </c>
      <c r="M323" t="s">
        <v>24</v>
      </c>
      <c r="N323" s="11" t="str">
        <f>TEXT(tblSales[[#This Row],[Date]],"mmmm")</f>
        <v>July</v>
      </c>
      <c r="O323" s="11" t="str">
        <f>"Q"&amp;ROUNDUP(MONTH(tblSales[[#This Row],[Date]])/3,0)</f>
        <v>Q3</v>
      </c>
      <c r="P323" s="11">
        <f>YEAR(tblSales[[#This Row],[Date]])</f>
        <v>2024</v>
      </c>
      <c r="Q323" s="5">
        <f>tblSales[[#This Row],[Profit]]/tblSales[[#This Row],[Revenue]]</f>
        <v>0.2</v>
      </c>
      <c r="R323" s="8">
        <f>tblSales[[#This Row],[Revenue]]*1.1</f>
        <v>275000</v>
      </c>
    </row>
    <row r="324" spans="1:18">
      <c r="A324" t="s">
        <v>885</v>
      </c>
      <c r="B324" s="7">
        <v>45505</v>
      </c>
      <c r="C324" t="s">
        <v>19</v>
      </c>
      <c r="D324" t="s">
        <v>20</v>
      </c>
      <c r="E324" t="s">
        <v>408</v>
      </c>
      <c r="F324" t="s">
        <v>29</v>
      </c>
      <c r="G324" t="s">
        <v>886</v>
      </c>
      <c r="H324">
        <v>1000</v>
      </c>
      <c r="I324" s="8">
        <v>200000</v>
      </c>
      <c r="J324" s="8">
        <v>40000</v>
      </c>
      <c r="K324">
        <v>0</v>
      </c>
      <c r="L324" s="8">
        <v>8000</v>
      </c>
      <c r="M324" t="s">
        <v>31</v>
      </c>
      <c r="N324" s="11" t="str">
        <f>TEXT(tblSales[[#This Row],[Date]],"mmmm")</f>
        <v>August</v>
      </c>
      <c r="O324" s="11" t="str">
        <f>"Q"&amp;ROUNDUP(MONTH(tblSales[[#This Row],[Date]])/3,0)</f>
        <v>Q3</v>
      </c>
      <c r="P324" s="11">
        <f>YEAR(tblSales[[#This Row],[Date]])</f>
        <v>2024</v>
      </c>
      <c r="Q324" s="5">
        <f>tblSales[[#This Row],[Profit]]/tblSales[[#This Row],[Revenue]]</f>
        <v>0.2</v>
      </c>
      <c r="R324" s="8">
        <f>tblSales[[#This Row],[Revenue]]*1.1</f>
        <v>220000</v>
      </c>
    </row>
    <row r="325" spans="1:18">
      <c r="A325" t="s">
        <v>887</v>
      </c>
      <c r="B325" s="7">
        <v>45505</v>
      </c>
      <c r="C325" t="s">
        <v>33</v>
      </c>
      <c r="D325" t="s">
        <v>34</v>
      </c>
      <c r="E325" t="s">
        <v>411</v>
      </c>
      <c r="F325" t="s">
        <v>43</v>
      </c>
      <c r="G325" t="s">
        <v>888</v>
      </c>
      <c r="H325">
        <v>25</v>
      </c>
      <c r="I325" s="8">
        <v>375000</v>
      </c>
      <c r="J325" s="8">
        <v>56250</v>
      </c>
      <c r="K325">
        <v>0</v>
      </c>
      <c r="L325" s="8">
        <v>12000</v>
      </c>
      <c r="M325" t="s">
        <v>24</v>
      </c>
      <c r="N325" s="11" t="str">
        <f>TEXT(tblSales[[#This Row],[Date]],"mmmm")</f>
        <v>August</v>
      </c>
      <c r="O325" s="11" t="str">
        <f>"Q"&amp;ROUNDUP(MONTH(tblSales[[#This Row],[Date]])/3,0)</f>
        <v>Q3</v>
      </c>
      <c r="P325" s="11">
        <f>YEAR(tblSales[[#This Row],[Date]])</f>
        <v>2024</v>
      </c>
      <c r="Q325" s="5">
        <f>tblSales[[#This Row],[Profit]]/tblSales[[#This Row],[Revenue]]</f>
        <v>0.15</v>
      </c>
      <c r="R325" s="8">
        <f>tblSales[[#This Row],[Revenue]]*1.1</f>
        <v>412500</v>
      </c>
    </row>
    <row r="326" spans="1:18">
      <c r="A326" t="s">
        <v>889</v>
      </c>
      <c r="B326" s="7">
        <v>45506</v>
      </c>
      <c r="C326" t="s">
        <v>26</v>
      </c>
      <c r="D326" t="s">
        <v>27</v>
      </c>
      <c r="E326" t="s">
        <v>414</v>
      </c>
      <c r="F326" t="s">
        <v>22</v>
      </c>
      <c r="G326" t="s">
        <v>890</v>
      </c>
      <c r="H326">
        <v>20</v>
      </c>
      <c r="I326" s="8">
        <v>600000</v>
      </c>
      <c r="J326" s="8">
        <v>120000</v>
      </c>
      <c r="K326">
        <v>0</v>
      </c>
      <c r="L326" s="8">
        <v>15000</v>
      </c>
      <c r="M326" t="s">
        <v>24</v>
      </c>
      <c r="N326" s="11" t="str">
        <f>TEXT(tblSales[[#This Row],[Date]],"mmmm")</f>
        <v>August</v>
      </c>
      <c r="O326" s="11" t="str">
        <f>"Q"&amp;ROUNDUP(MONTH(tblSales[[#This Row],[Date]])/3,0)</f>
        <v>Q3</v>
      </c>
      <c r="P326" s="11">
        <f>YEAR(tblSales[[#This Row],[Date]])</f>
        <v>2024</v>
      </c>
      <c r="Q326" s="5">
        <f>tblSales[[#This Row],[Profit]]/tblSales[[#This Row],[Revenue]]</f>
        <v>0.2</v>
      </c>
      <c r="R326" s="8">
        <f>tblSales[[#This Row],[Revenue]]*1.1</f>
        <v>660000</v>
      </c>
    </row>
    <row r="327" spans="1:18">
      <c r="A327" t="s">
        <v>891</v>
      </c>
      <c r="B327" s="7">
        <v>45506</v>
      </c>
      <c r="C327" t="s">
        <v>40</v>
      </c>
      <c r="D327" t="s">
        <v>126</v>
      </c>
      <c r="E327" t="s">
        <v>417</v>
      </c>
      <c r="F327" t="s">
        <v>29</v>
      </c>
      <c r="G327" t="s">
        <v>892</v>
      </c>
      <c r="H327">
        <v>200</v>
      </c>
      <c r="I327" s="8">
        <v>800000</v>
      </c>
      <c r="J327" s="8">
        <v>160000</v>
      </c>
      <c r="K327">
        <v>0</v>
      </c>
      <c r="L327" s="8">
        <v>30000</v>
      </c>
      <c r="M327" t="s">
        <v>31</v>
      </c>
      <c r="N327" s="11" t="str">
        <f>TEXT(tblSales[[#This Row],[Date]],"mmmm")</f>
        <v>August</v>
      </c>
      <c r="O327" s="11" t="str">
        <f>"Q"&amp;ROUNDUP(MONTH(tblSales[[#This Row],[Date]])/3,0)</f>
        <v>Q3</v>
      </c>
      <c r="P327" s="11">
        <f>YEAR(tblSales[[#This Row],[Date]])</f>
        <v>2024</v>
      </c>
      <c r="Q327" s="5">
        <f>tblSales[[#This Row],[Profit]]/tblSales[[#This Row],[Revenue]]</f>
        <v>0.2</v>
      </c>
      <c r="R327" s="8">
        <f>tblSales[[#This Row],[Revenue]]*1.1</f>
        <v>880000</v>
      </c>
    </row>
    <row r="328" spans="1:18">
      <c r="A328" t="s">
        <v>893</v>
      </c>
      <c r="B328" s="7">
        <v>45507</v>
      </c>
      <c r="C328" t="s">
        <v>19</v>
      </c>
      <c r="D328" t="s">
        <v>113</v>
      </c>
      <c r="E328" t="s">
        <v>420</v>
      </c>
      <c r="F328" t="s">
        <v>36</v>
      </c>
      <c r="G328" t="s">
        <v>894</v>
      </c>
      <c r="H328">
        <v>400</v>
      </c>
      <c r="I328" s="8">
        <v>2000000</v>
      </c>
      <c r="J328" s="8">
        <v>400000</v>
      </c>
      <c r="K328">
        <v>0</v>
      </c>
      <c r="L328" s="8">
        <v>100000</v>
      </c>
      <c r="M328" t="s">
        <v>38</v>
      </c>
      <c r="N328" s="11" t="str">
        <f>TEXT(tblSales[[#This Row],[Date]],"mmmm")</f>
        <v>August</v>
      </c>
      <c r="O328" s="11" t="str">
        <f>"Q"&amp;ROUNDUP(MONTH(tblSales[[#This Row],[Date]])/3,0)</f>
        <v>Q3</v>
      </c>
      <c r="P328" s="11">
        <f>YEAR(tblSales[[#This Row],[Date]])</f>
        <v>2024</v>
      </c>
      <c r="Q328" s="5">
        <f>tblSales[[#This Row],[Profit]]/tblSales[[#This Row],[Revenue]]</f>
        <v>0.2</v>
      </c>
      <c r="R328" s="8">
        <f>tblSales[[#This Row],[Revenue]]*1.1</f>
        <v>2200000</v>
      </c>
    </row>
    <row r="329" spans="1:18">
      <c r="A329" t="s">
        <v>895</v>
      </c>
      <c r="B329" s="7">
        <v>45507</v>
      </c>
      <c r="C329" t="s">
        <v>26</v>
      </c>
      <c r="D329" t="s">
        <v>71</v>
      </c>
      <c r="E329" t="s">
        <v>426</v>
      </c>
      <c r="F329" t="s">
        <v>22</v>
      </c>
      <c r="G329" t="s">
        <v>896</v>
      </c>
      <c r="H329">
        <v>10</v>
      </c>
      <c r="I329" s="8">
        <v>250000</v>
      </c>
      <c r="J329" s="8">
        <v>37500</v>
      </c>
      <c r="K329">
        <v>0</v>
      </c>
      <c r="L329" s="8">
        <v>8000</v>
      </c>
      <c r="M329" t="s">
        <v>24</v>
      </c>
      <c r="N329" s="11" t="str">
        <f>TEXT(tblSales[[#This Row],[Date]],"mmmm")</f>
        <v>August</v>
      </c>
      <c r="O329" s="11" t="str">
        <f>"Q"&amp;ROUNDUP(MONTH(tblSales[[#This Row],[Date]])/3,0)</f>
        <v>Q3</v>
      </c>
      <c r="P329" s="11">
        <f>YEAR(tblSales[[#This Row],[Date]])</f>
        <v>2024</v>
      </c>
      <c r="Q329" s="5">
        <f>tblSales[[#This Row],[Profit]]/tblSales[[#This Row],[Revenue]]</f>
        <v>0.15</v>
      </c>
      <c r="R329" s="8">
        <f>tblSales[[#This Row],[Revenue]]*1.1</f>
        <v>275000</v>
      </c>
    </row>
    <row r="330" spans="1:18">
      <c r="A330" t="s">
        <v>897</v>
      </c>
      <c r="B330" s="7">
        <v>45508</v>
      </c>
      <c r="C330" t="s">
        <v>40</v>
      </c>
      <c r="D330" t="s">
        <v>41</v>
      </c>
      <c r="E330" t="s">
        <v>429</v>
      </c>
      <c r="F330" t="s">
        <v>29</v>
      </c>
      <c r="G330" t="s">
        <v>898</v>
      </c>
      <c r="H330">
        <v>500</v>
      </c>
      <c r="I330" s="8">
        <v>500000</v>
      </c>
      <c r="J330" s="8">
        <v>100000</v>
      </c>
      <c r="K330">
        <v>0</v>
      </c>
      <c r="L330" s="8">
        <v>20000</v>
      </c>
      <c r="M330" t="s">
        <v>31</v>
      </c>
      <c r="N330" s="11" t="str">
        <f>TEXT(tblSales[[#This Row],[Date]],"mmmm")</f>
        <v>August</v>
      </c>
      <c r="O330" s="11" t="str">
        <f>"Q"&amp;ROUNDUP(MONTH(tblSales[[#This Row],[Date]])/3,0)</f>
        <v>Q3</v>
      </c>
      <c r="P330" s="11">
        <f>YEAR(tblSales[[#This Row],[Date]])</f>
        <v>2024</v>
      </c>
      <c r="Q330" s="5">
        <f>tblSales[[#This Row],[Profit]]/tblSales[[#This Row],[Revenue]]</f>
        <v>0.2</v>
      </c>
      <c r="R330" s="8">
        <f>tblSales[[#This Row],[Revenue]]*1.1</f>
        <v>550000</v>
      </c>
    </row>
    <row r="331" spans="1:18">
      <c r="A331" t="s">
        <v>899</v>
      </c>
      <c r="B331" s="7">
        <v>45508</v>
      </c>
      <c r="C331" t="s">
        <v>19</v>
      </c>
      <c r="D331" t="s">
        <v>20</v>
      </c>
      <c r="E331" t="s">
        <v>432</v>
      </c>
      <c r="F331" t="s">
        <v>43</v>
      </c>
      <c r="G331" t="s">
        <v>900</v>
      </c>
      <c r="H331">
        <v>30</v>
      </c>
      <c r="I331" s="8">
        <v>450000</v>
      </c>
      <c r="J331" s="8">
        <v>67500</v>
      </c>
      <c r="K331">
        <v>5</v>
      </c>
      <c r="L331" s="8">
        <v>15000</v>
      </c>
      <c r="M331" t="s">
        <v>24</v>
      </c>
      <c r="N331" s="11" t="str">
        <f>TEXT(tblSales[[#This Row],[Date]],"mmmm")</f>
        <v>August</v>
      </c>
      <c r="O331" s="11" t="str">
        <f>"Q"&amp;ROUNDUP(MONTH(tblSales[[#This Row],[Date]])/3,0)</f>
        <v>Q3</v>
      </c>
      <c r="P331" s="11">
        <f>YEAR(tblSales[[#This Row],[Date]])</f>
        <v>2024</v>
      </c>
      <c r="Q331" s="5">
        <f>tblSales[[#This Row],[Profit]]/tblSales[[#This Row],[Revenue]]</f>
        <v>0.15</v>
      </c>
      <c r="R331" s="8">
        <f>tblSales[[#This Row],[Revenue]]*1.1</f>
        <v>495000</v>
      </c>
    </row>
    <row r="332" spans="1:18">
      <c r="A332" t="s">
        <v>901</v>
      </c>
      <c r="B332" s="7">
        <v>45509</v>
      </c>
      <c r="C332" t="s">
        <v>33</v>
      </c>
      <c r="D332" t="s">
        <v>34</v>
      </c>
      <c r="E332" t="s">
        <v>435</v>
      </c>
      <c r="F332" t="s">
        <v>36</v>
      </c>
      <c r="G332" t="s">
        <v>902</v>
      </c>
      <c r="H332">
        <v>100</v>
      </c>
      <c r="I332" s="8">
        <v>500000</v>
      </c>
      <c r="J332" s="8">
        <v>100000</v>
      </c>
      <c r="K332">
        <v>0</v>
      </c>
      <c r="L332" s="8">
        <v>10000</v>
      </c>
      <c r="M332" t="s">
        <v>38</v>
      </c>
      <c r="N332" s="11" t="str">
        <f>TEXT(tblSales[[#This Row],[Date]],"mmmm")</f>
        <v>August</v>
      </c>
      <c r="O332" s="11" t="str">
        <f>"Q"&amp;ROUNDUP(MONTH(tblSales[[#This Row],[Date]])/3,0)</f>
        <v>Q3</v>
      </c>
      <c r="P332" s="11">
        <f>YEAR(tblSales[[#This Row],[Date]])</f>
        <v>2024</v>
      </c>
      <c r="Q332" s="5">
        <f>tblSales[[#This Row],[Profit]]/tblSales[[#This Row],[Revenue]]</f>
        <v>0.2</v>
      </c>
      <c r="R332" s="8">
        <f>tblSales[[#This Row],[Revenue]]*1.1</f>
        <v>550000</v>
      </c>
    </row>
    <row r="333" spans="1:18">
      <c r="A333" t="s">
        <v>903</v>
      </c>
      <c r="B333" s="7">
        <v>45509</v>
      </c>
      <c r="C333" t="s">
        <v>26</v>
      </c>
      <c r="D333" t="s">
        <v>27</v>
      </c>
      <c r="E333" t="s">
        <v>438</v>
      </c>
      <c r="F333" t="s">
        <v>22</v>
      </c>
      <c r="G333" t="s">
        <v>904</v>
      </c>
      <c r="H333">
        <v>12</v>
      </c>
      <c r="I333" s="8">
        <v>600000</v>
      </c>
      <c r="J333" s="8">
        <v>90000</v>
      </c>
      <c r="K333">
        <v>0</v>
      </c>
      <c r="L333" s="8">
        <v>20000</v>
      </c>
      <c r="M333" t="s">
        <v>24</v>
      </c>
      <c r="N333" s="11" t="str">
        <f>TEXT(tblSales[[#This Row],[Date]],"mmmm")</f>
        <v>August</v>
      </c>
      <c r="O333" s="11" t="str">
        <f>"Q"&amp;ROUNDUP(MONTH(tblSales[[#This Row],[Date]])/3,0)</f>
        <v>Q3</v>
      </c>
      <c r="P333" s="11">
        <f>YEAR(tblSales[[#This Row],[Date]])</f>
        <v>2024</v>
      </c>
      <c r="Q333" s="5">
        <f>tblSales[[#This Row],[Profit]]/tblSales[[#This Row],[Revenue]]</f>
        <v>0.15</v>
      </c>
      <c r="R333" s="8">
        <f>tblSales[[#This Row],[Revenue]]*1.1</f>
        <v>660000</v>
      </c>
    </row>
    <row r="334" spans="1:18">
      <c r="A334" t="s">
        <v>905</v>
      </c>
      <c r="B334" s="7">
        <v>45510</v>
      </c>
      <c r="C334" t="s">
        <v>40</v>
      </c>
      <c r="D334" t="s">
        <v>93</v>
      </c>
      <c r="E334" t="s">
        <v>441</v>
      </c>
      <c r="F334" t="s">
        <v>29</v>
      </c>
      <c r="G334" t="s">
        <v>906</v>
      </c>
      <c r="H334">
        <v>80</v>
      </c>
      <c r="I334" s="8">
        <v>480000</v>
      </c>
      <c r="J334" s="8">
        <v>96000</v>
      </c>
      <c r="K334">
        <v>0</v>
      </c>
      <c r="L334" s="8">
        <v>10000</v>
      </c>
      <c r="M334" t="s">
        <v>31</v>
      </c>
      <c r="N334" s="11" t="str">
        <f>TEXT(tblSales[[#This Row],[Date]],"mmmm")</f>
        <v>August</v>
      </c>
      <c r="O334" s="11" t="str">
        <f>"Q"&amp;ROUNDUP(MONTH(tblSales[[#This Row],[Date]])/3,0)</f>
        <v>Q3</v>
      </c>
      <c r="P334" s="11">
        <f>YEAR(tblSales[[#This Row],[Date]])</f>
        <v>2024</v>
      </c>
      <c r="Q334" s="5">
        <f>tblSales[[#This Row],[Profit]]/tblSales[[#This Row],[Revenue]]</f>
        <v>0.2</v>
      </c>
      <c r="R334" s="8">
        <f>tblSales[[#This Row],[Revenue]]*1.1</f>
        <v>528000</v>
      </c>
    </row>
    <row r="335" spans="1:18">
      <c r="A335" t="s">
        <v>907</v>
      </c>
      <c r="B335" s="7">
        <v>45510</v>
      </c>
      <c r="C335" t="s">
        <v>19</v>
      </c>
      <c r="D335" t="s">
        <v>50</v>
      </c>
      <c r="E335" t="s">
        <v>444</v>
      </c>
      <c r="F335" t="s">
        <v>43</v>
      </c>
      <c r="G335" t="s">
        <v>908</v>
      </c>
      <c r="H335">
        <v>50</v>
      </c>
      <c r="I335" s="8">
        <v>250000</v>
      </c>
      <c r="J335" s="8">
        <v>37500</v>
      </c>
      <c r="K335">
        <v>0</v>
      </c>
      <c r="L335" s="8">
        <v>6000</v>
      </c>
      <c r="M335" t="s">
        <v>24</v>
      </c>
      <c r="N335" s="11" t="str">
        <f>TEXT(tblSales[[#This Row],[Date]],"mmmm")</f>
        <v>August</v>
      </c>
      <c r="O335" s="11" t="str">
        <f>"Q"&amp;ROUNDUP(MONTH(tblSales[[#This Row],[Date]])/3,0)</f>
        <v>Q3</v>
      </c>
      <c r="P335" s="11">
        <f>YEAR(tblSales[[#This Row],[Date]])</f>
        <v>2024</v>
      </c>
      <c r="Q335" s="5">
        <f>tblSales[[#This Row],[Profit]]/tblSales[[#This Row],[Revenue]]</f>
        <v>0.15</v>
      </c>
      <c r="R335" s="8">
        <f>tblSales[[#This Row],[Revenue]]*1.1</f>
        <v>275000</v>
      </c>
    </row>
    <row r="336" spans="1:18">
      <c r="A336" t="s">
        <v>909</v>
      </c>
      <c r="B336" s="7">
        <v>45511</v>
      </c>
      <c r="C336" t="s">
        <v>33</v>
      </c>
      <c r="D336" t="s">
        <v>54</v>
      </c>
      <c r="E336" t="s">
        <v>447</v>
      </c>
      <c r="F336" t="s">
        <v>36</v>
      </c>
      <c r="G336" t="s">
        <v>910</v>
      </c>
      <c r="H336">
        <v>350</v>
      </c>
      <c r="I336" s="8">
        <v>2100000</v>
      </c>
      <c r="J336" s="8">
        <v>420000</v>
      </c>
      <c r="K336">
        <v>0</v>
      </c>
      <c r="L336" s="8">
        <v>80000</v>
      </c>
      <c r="M336" t="s">
        <v>38</v>
      </c>
      <c r="N336" s="11" t="str">
        <f>TEXT(tblSales[[#This Row],[Date]],"mmmm")</f>
        <v>August</v>
      </c>
      <c r="O336" s="11" t="str">
        <f>"Q"&amp;ROUNDUP(MONTH(tblSales[[#This Row],[Date]])/3,0)</f>
        <v>Q3</v>
      </c>
      <c r="P336" s="11">
        <f>YEAR(tblSales[[#This Row],[Date]])</f>
        <v>2024</v>
      </c>
      <c r="Q336" s="5">
        <f>tblSales[[#This Row],[Profit]]/tblSales[[#This Row],[Revenue]]</f>
        <v>0.2</v>
      </c>
      <c r="R336" s="8">
        <f>tblSales[[#This Row],[Revenue]]*1.1</f>
        <v>2310000</v>
      </c>
    </row>
    <row r="337" spans="1:18">
      <c r="A337" t="s">
        <v>911</v>
      </c>
      <c r="B337" s="7">
        <v>45511</v>
      </c>
      <c r="C337" t="s">
        <v>26</v>
      </c>
      <c r="D337" t="s">
        <v>46</v>
      </c>
      <c r="E337" t="s">
        <v>450</v>
      </c>
      <c r="F337" t="s">
        <v>22</v>
      </c>
      <c r="G337" t="s">
        <v>912</v>
      </c>
      <c r="H337">
        <v>120</v>
      </c>
      <c r="I337" s="8">
        <v>360000</v>
      </c>
      <c r="J337" s="8">
        <v>72000</v>
      </c>
      <c r="K337">
        <v>0</v>
      </c>
      <c r="L337" s="8">
        <v>12000</v>
      </c>
      <c r="M337" t="s">
        <v>24</v>
      </c>
      <c r="N337" s="11" t="str">
        <f>TEXT(tblSales[[#This Row],[Date]],"mmmm")</f>
        <v>August</v>
      </c>
      <c r="O337" s="11" t="str">
        <f>"Q"&amp;ROUNDUP(MONTH(tblSales[[#This Row],[Date]])/3,0)</f>
        <v>Q3</v>
      </c>
      <c r="P337" s="11">
        <f>YEAR(tblSales[[#This Row],[Date]])</f>
        <v>2024</v>
      </c>
      <c r="Q337" s="5">
        <f>tblSales[[#This Row],[Profit]]/tblSales[[#This Row],[Revenue]]</f>
        <v>0.2</v>
      </c>
      <c r="R337" s="8">
        <f>tblSales[[#This Row],[Revenue]]*1.1</f>
        <v>396000</v>
      </c>
    </row>
    <row r="338" spans="1:18">
      <c r="A338" t="s">
        <v>913</v>
      </c>
      <c r="B338" s="7">
        <v>45512</v>
      </c>
      <c r="C338" t="s">
        <v>19</v>
      </c>
      <c r="D338" t="s">
        <v>20</v>
      </c>
      <c r="E338" t="s">
        <v>453</v>
      </c>
      <c r="F338" t="s">
        <v>29</v>
      </c>
      <c r="G338" t="s">
        <v>914</v>
      </c>
      <c r="H338">
        <v>1000</v>
      </c>
      <c r="I338" s="8">
        <v>500000</v>
      </c>
      <c r="J338" s="8">
        <v>100000</v>
      </c>
      <c r="K338">
        <v>0</v>
      </c>
      <c r="L338" s="8">
        <v>50000</v>
      </c>
      <c r="M338" t="s">
        <v>31</v>
      </c>
      <c r="N338" s="11" t="str">
        <f>TEXT(tblSales[[#This Row],[Date]],"mmmm")</f>
        <v>August</v>
      </c>
      <c r="O338" s="11" t="str">
        <f>"Q"&amp;ROUNDUP(MONTH(tblSales[[#This Row],[Date]])/3,0)</f>
        <v>Q3</v>
      </c>
      <c r="P338" s="11">
        <f>YEAR(tblSales[[#This Row],[Date]])</f>
        <v>2024</v>
      </c>
      <c r="Q338" s="5">
        <f>tblSales[[#This Row],[Profit]]/tblSales[[#This Row],[Revenue]]</f>
        <v>0.2</v>
      </c>
      <c r="R338" s="8">
        <f>tblSales[[#This Row],[Revenue]]*1.1</f>
        <v>550000</v>
      </c>
    </row>
    <row r="339" spans="1:18">
      <c r="A339" t="s">
        <v>915</v>
      </c>
      <c r="B339" s="7">
        <v>45512</v>
      </c>
      <c r="C339" t="s">
        <v>33</v>
      </c>
      <c r="D339" t="s">
        <v>34</v>
      </c>
      <c r="E339" t="s">
        <v>456</v>
      </c>
      <c r="F339" t="s">
        <v>43</v>
      </c>
      <c r="G339" t="s">
        <v>916</v>
      </c>
      <c r="H339">
        <v>60</v>
      </c>
      <c r="I339" s="8">
        <v>180000</v>
      </c>
      <c r="J339" s="8">
        <v>27000</v>
      </c>
      <c r="K339">
        <v>0</v>
      </c>
      <c r="L339" s="8">
        <v>8000</v>
      </c>
      <c r="M339" t="s">
        <v>24</v>
      </c>
      <c r="N339" s="11" t="str">
        <f>TEXT(tblSales[[#This Row],[Date]],"mmmm")</f>
        <v>August</v>
      </c>
      <c r="O339" s="11" t="str">
        <f>"Q"&amp;ROUNDUP(MONTH(tblSales[[#This Row],[Date]])/3,0)</f>
        <v>Q3</v>
      </c>
      <c r="P339" s="11">
        <f>YEAR(tblSales[[#This Row],[Date]])</f>
        <v>2024</v>
      </c>
      <c r="Q339" s="5">
        <f>tblSales[[#This Row],[Profit]]/tblSales[[#This Row],[Revenue]]</f>
        <v>0.15</v>
      </c>
      <c r="R339" s="8">
        <f>tblSales[[#This Row],[Revenue]]*1.1</f>
        <v>198000</v>
      </c>
    </row>
    <row r="340" spans="1:18">
      <c r="A340" t="s">
        <v>917</v>
      </c>
      <c r="B340" s="7">
        <v>45513</v>
      </c>
      <c r="C340" t="s">
        <v>26</v>
      </c>
      <c r="D340" t="s">
        <v>27</v>
      </c>
      <c r="E340" t="s">
        <v>459</v>
      </c>
      <c r="F340" t="s">
        <v>22</v>
      </c>
      <c r="G340" t="s">
        <v>918</v>
      </c>
      <c r="H340">
        <v>15</v>
      </c>
      <c r="I340" s="8">
        <v>375000</v>
      </c>
      <c r="J340" s="8">
        <v>56250</v>
      </c>
      <c r="K340">
        <v>0</v>
      </c>
      <c r="L340" s="8">
        <v>10000</v>
      </c>
      <c r="M340" t="s">
        <v>24</v>
      </c>
      <c r="N340" s="11" t="str">
        <f>TEXT(tblSales[[#This Row],[Date]],"mmmm")</f>
        <v>August</v>
      </c>
      <c r="O340" s="11" t="str">
        <f>"Q"&amp;ROUNDUP(MONTH(tblSales[[#This Row],[Date]])/3,0)</f>
        <v>Q3</v>
      </c>
      <c r="P340" s="11">
        <f>YEAR(tblSales[[#This Row],[Date]])</f>
        <v>2024</v>
      </c>
      <c r="Q340" s="5">
        <f>tblSales[[#This Row],[Profit]]/tblSales[[#This Row],[Revenue]]</f>
        <v>0.15</v>
      </c>
      <c r="R340" s="8">
        <f>tblSales[[#This Row],[Revenue]]*1.1</f>
        <v>412500</v>
      </c>
    </row>
    <row r="341" spans="1:18">
      <c r="A341" t="s">
        <v>919</v>
      </c>
      <c r="B341" s="7">
        <v>45513</v>
      </c>
      <c r="C341" t="s">
        <v>40</v>
      </c>
      <c r="D341" t="s">
        <v>61</v>
      </c>
      <c r="E341" t="s">
        <v>462</v>
      </c>
      <c r="F341" t="s">
        <v>29</v>
      </c>
      <c r="G341" t="s">
        <v>920</v>
      </c>
      <c r="H341">
        <v>180</v>
      </c>
      <c r="I341" s="8">
        <v>360000</v>
      </c>
      <c r="J341" s="8">
        <v>72000</v>
      </c>
      <c r="K341">
        <v>0</v>
      </c>
      <c r="L341" s="8">
        <v>10000</v>
      </c>
      <c r="M341" t="s">
        <v>31</v>
      </c>
      <c r="N341" s="11" t="str">
        <f>TEXT(tblSales[[#This Row],[Date]],"mmmm")</f>
        <v>August</v>
      </c>
      <c r="O341" s="11" t="str">
        <f>"Q"&amp;ROUNDUP(MONTH(tblSales[[#This Row],[Date]])/3,0)</f>
        <v>Q3</v>
      </c>
      <c r="P341" s="11">
        <f>YEAR(tblSales[[#This Row],[Date]])</f>
        <v>2024</v>
      </c>
      <c r="Q341" s="5">
        <f>tblSales[[#This Row],[Profit]]/tblSales[[#This Row],[Revenue]]</f>
        <v>0.2</v>
      </c>
      <c r="R341" s="8">
        <f>tblSales[[#This Row],[Revenue]]*1.1</f>
        <v>396000</v>
      </c>
    </row>
    <row r="342" spans="1:18">
      <c r="A342" t="s">
        <v>921</v>
      </c>
      <c r="B342" s="7">
        <v>45514</v>
      </c>
      <c r="C342" t="s">
        <v>19</v>
      </c>
      <c r="D342" t="s">
        <v>100</v>
      </c>
      <c r="E342" t="s">
        <v>465</v>
      </c>
      <c r="F342" t="s">
        <v>36</v>
      </c>
      <c r="G342" t="s">
        <v>922</v>
      </c>
      <c r="H342">
        <v>250</v>
      </c>
      <c r="I342" s="8">
        <v>1250000</v>
      </c>
      <c r="J342" s="8">
        <v>250000</v>
      </c>
      <c r="K342">
        <v>0</v>
      </c>
      <c r="L342" s="8">
        <v>50000</v>
      </c>
      <c r="M342" t="s">
        <v>38</v>
      </c>
      <c r="N342" s="11" t="str">
        <f>TEXT(tblSales[[#This Row],[Date]],"mmmm")</f>
        <v>August</v>
      </c>
      <c r="O342" s="11" t="str">
        <f>"Q"&amp;ROUNDUP(MONTH(tblSales[[#This Row],[Date]])/3,0)</f>
        <v>Q3</v>
      </c>
      <c r="P342" s="11">
        <f>YEAR(tblSales[[#This Row],[Date]])</f>
        <v>2024</v>
      </c>
      <c r="Q342" s="5">
        <f>tblSales[[#This Row],[Profit]]/tblSales[[#This Row],[Revenue]]</f>
        <v>0.2</v>
      </c>
      <c r="R342" s="8">
        <f>tblSales[[#This Row],[Revenue]]*1.1</f>
        <v>1375000</v>
      </c>
    </row>
    <row r="343" spans="1:18">
      <c r="A343" t="s">
        <v>923</v>
      </c>
      <c r="B343" s="7">
        <v>45514</v>
      </c>
      <c r="C343" t="s">
        <v>26</v>
      </c>
      <c r="D343" t="s">
        <v>71</v>
      </c>
      <c r="E343" t="s">
        <v>471</v>
      </c>
      <c r="F343" t="s">
        <v>22</v>
      </c>
      <c r="G343" t="s">
        <v>924</v>
      </c>
      <c r="H343">
        <v>10</v>
      </c>
      <c r="I343" s="8">
        <v>300000</v>
      </c>
      <c r="J343" s="8">
        <v>45000</v>
      </c>
      <c r="K343">
        <v>0</v>
      </c>
      <c r="L343" s="8">
        <v>8000</v>
      </c>
      <c r="M343" t="s">
        <v>24</v>
      </c>
      <c r="N343" s="11" t="str">
        <f>TEXT(tblSales[[#This Row],[Date]],"mmmm")</f>
        <v>August</v>
      </c>
      <c r="O343" s="11" t="str">
        <f>"Q"&amp;ROUNDUP(MONTH(tblSales[[#This Row],[Date]])/3,0)</f>
        <v>Q3</v>
      </c>
      <c r="P343" s="11">
        <f>YEAR(tblSales[[#This Row],[Date]])</f>
        <v>2024</v>
      </c>
      <c r="Q343" s="5">
        <f>tblSales[[#This Row],[Profit]]/tblSales[[#This Row],[Revenue]]</f>
        <v>0.15</v>
      </c>
      <c r="R343" s="8">
        <f>tblSales[[#This Row],[Revenue]]*1.1</f>
        <v>330000</v>
      </c>
    </row>
    <row r="344" spans="1:18">
      <c r="A344" t="s">
        <v>925</v>
      </c>
      <c r="B344" s="7">
        <v>45515</v>
      </c>
      <c r="C344" t="s">
        <v>40</v>
      </c>
      <c r="D344" t="s">
        <v>41</v>
      </c>
      <c r="E344" t="s">
        <v>474</v>
      </c>
      <c r="F344" t="s">
        <v>29</v>
      </c>
      <c r="G344" t="s">
        <v>926</v>
      </c>
      <c r="H344">
        <v>40</v>
      </c>
      <c r="I344" s="8">
        <v>800000</v>
      </c>
      <c r="J344" s="8">
        <v>160000</v>
      </c>
      <c r="K344">
        <v>0</v>
      </c>
      <c r="L344" s="8">
        <v>15000</v>
      </c>
      <c r="M344" t="s">
        <v>31</v>
      </c>
      <c r="N344" s="11" t="str">
        <f>TEXT(tblSales[[#This Row],[Date]],"mmmm")</f>
        <v>August</v>
      </c>
      <c r="O344" s="11" t="str">
        <f>"Q"&amp;ROUNDUP(MONTH(tblSales[[#This Row],[Date]])/3,0)</f>
        <v>Q3</v>
      </c>
      <c r="P344" s="11">
        <f>YEAR(tblSales[[#This Row],[Date]])</f>
        <v>2024</v>
      </c>
      <c r="Q344" s="5">
        <f>tblSales[[#This Row],[Profit]]/tblSales[[#This Row],[Revenue]]</f>
        <v>0.2</v>
      </c>
      <c r="R344" s="8">
        <f>tblSales[[#This Row],[Revenue]]*1.1</f>
        <v>880000</v>
      </c>
    </row>
    <row r="345" spans="1:18">
      <c r="A345" t="s">
        <v>927</v>
      </c>
      <c r="B345" s="7">
        <v>45515</v>
      </c>
      <c r="C345" t="s">
        <v>19</v>
      </c>
      <c r="D345" t="s">
        <v>20</v>
      </c>
      <c r="E345" t="s">
        <v>477</v>
      </c>
      <c r="F345" t="s">
        <v>43</v>
      </c>
      <c r="G345" t="s">
        <v>928</v>
      </c>
      <c r="H345">
        <v>35</v>
      </c>
      <c r="I345" s="8">
        <v>350000</v>
      </c>
      <c r="J345" s="8">
        <v>52500</v>
      </c>
      <c r="K345">
        <v>5</v>
      </c>
      <c r="L345" s="8">
        <v>10000</v>
      </c>
      <c r="M345" t="s">
        <v>24</v>
      </c>
      <c r="N345" s="11" t="str">
        <f>TEXT(tblSales[[#This Row],[Date]],"mmmm")</f>
        <v>August</v>
      </c>
      <c r="O345" s="11" t="str">
        <f>"Q"&amp;ROUNDUP(MONTH(tblSales[[#This Row],[Date]])/3,0)</f>
        <v>Q3</v>
      </c>
      <c r="P345" s="11">
        <f>YEAR(tblSales[[#This Row],[Date]])</f>
        <v>2024</v>
      </c>
      <c r="Q345" s="5">
        <f>tblSales[[#This Row],[Profit]]/tblSales[[#This Row],[Revenue]]</f>
        <v>0.15</v>
      </c>
      <c r="R345" s="8">
        <f>tblSales[[#This Row],[Revenue]]*1.1</f>
        <v>385000</v>
      </c>
    </row>
    <row r="346" spans="1:18">
      <c r="A346" t="s">
        <v>929</v>
      </c>
      <c r="B346" s="7">
        <v>45516</v>
      </c>
      <c r="C346" t="s">
        <v>33</v>
      </c>
      <c r="D346" t="s">
        <v>54</v>
      </c>
      <c r="E346" t="s">
        <v>480</v>
      </c>
      <c r="F346" t="s">
        <v>36</v>
      </c>
      <c r="G346" t="s">
        <v>930</v>
      </c>
      <c r="H346">
        <v>500</v>
      </c>
      <c r="I346" s="8">
        <v>1500000</v>
      </c>
      <c r="J346" s="8">
        <v>300000</v>
      </c>
      <c r="K346">
        <v>0</v>
      </c>
      <c r="L346" s="8">
        <v>60000</v>
      </c>
      <c r="M346" t="s">
        <v>38</v>
      </c>
      <c r="N346" s="11" t="str">
        <f>TEXT(tblSales[[#This Row],[Date]],"mmmm")</f>
        <v>August</v>
      </c>
      <c r="O346" s="11" t="str">
        <f>"Q"&amp;ROUNDUP(MONTH(tblSales[[#This Row],[Date]])/3,0)</f>
        <v>Q3</v>
      </c>
      <c r="P346" s="11">
        <f>YEAR(tblSales[[#This Row],[Date]])</f>
        <v>2024</v>
      </c>
      <c r="Q346" s="5">
        <f>tblSales[[#This Row],[Profit]]/tblSales[[#This Row],[Revenue]]</f>
        <v>0.2</v>
      </c>
      <c r="R346" s="8">
        <f>tblSales[[#This Row],[Revenue]]*1.1</f>
        <v>1650000</v>
      </c>
    </row>
    <row r="347" spans="1:18">
      <c r="A347" t="s">
        <v>931</v>
      </c>
      <c r="B347" s="7">
        <v>45516</v>
      </c>
      <c r="C347" t="s">
        <v>26</v>
      </c>
      <c r="D347" t="s">
        <v>27</v>
      </c>
      <c r="E347" t="s">
        <v>483</v>
      </c>
      <c r="F347" t="s">
        <v>22</v>
      </c>
      <c r="G347" t="s">
        <v>932</v>
      </c>
      <c r="H347">
        <v>50</v>
      </c>
      <c r="I347" s="8">
        <v>200000</v>
      </c>
      <c r="J347" s="8">
        <v>40000</v>
      </c>
      <c r="K347">
        <v>0</v>
      </c>
      <c r="L347" s="8">
        <v>5000</v>
      </c>
      <c r="M347" t="s">
        <v>24</v>
      </c>
      <c r="N347" s="11" t="str">
        <f>TEXT(tblSales[[#This Row],[Date]],"mmmm")</f>
        <v>August</v>
      </c>
      <c r="O347" s="11" t="str">
        <f>"Q"&amp;ROUNDUP(MONTH(tblSales[[#This Row],[Date]])/3,0)</f>
        <v>Q3</v>
      </c>
      <c r="P347" s="11">
        <f>YEAR(tblSales[[#This Row],[Date]])</f>
        <v>2024</v>
      </c>
      <c r="Q347" s="5">
        <f>tblSales[[#This Row],[Profit]]/tblSales[[#This Row],[Revenue]]</f>
        <v>0.2</v>
      </c>
      <c r="R347" s="8">
        <f>tblSales[[#This Row],[Revenue]]*1.1</f>
        <v>220000</v>
      </c>
    </row>
    <row r="348" spans="1:18">
      <c r="A348" t="s">
        <v>933</v>
      </c>
      <c r="B348" s="7">
        <v>45517</v>
      </c>
      <c r="C348" t="s">
        <v>40</v>
      </c>
      <c r="D348" t="s">
        <v>126</v>
      </c>
      <c r="E348" t="s">
        <v>486</v>
      </c>
      <c r="F348" t="s">
        <v>29</v>
      </c>
      <c r="G348" t="s">
        <v>934</v>
      </c>
      <c r="H348">
        <v>300</v>
      </c>
      <c r="I348" s="8">
        <v>600000</v>
      </c>
      <c r="J348" s="8">
        <v>120000</v>
      </c>
      <c r="K348">
        <v>0</v>
      </c>
      <c r="L348" s="8">
        <v>20000</v>
      </c>
      <c r="M348" t="s">
        <v>31</v>
      </c>
      <c r="N348" s="11" t="str">
        <f>TEXT(tblSales[[#This Row],[Date]],"mmmm")</f>
        <v>August</v>
      </c>
      <c r="O348" s="11" t="str">
        <f>"Q"&amp;ROUNDUP(MONTH(tblSales[[#This Row],[Date]])/3,0)</f>
        <v>Q3</v>
      </c>
      <c r="P348" s="11">
        <f>YEAR(tblSales[[#This Row],[Date]])</f>
        <v>2024</v>
      </c>
      <c r="Q348" s="5">
        <f>tblSales[[#This Row],[Profit]]/tblSales[[#This Row],[Revenue]]</f>
        <v>0.2</v>
      </c>
      <c r="R348" s="8">
        <f>tblSales[[#This Row],[Revenue]]*1.1</f>
        <v>660000</v>
      </c>
    </row>
    <row r="349" spans="1:18">
      <c r="A349" t="s">
        <v>935</v>
      </c>
      <c r="B349" s="7">
        <v>45517</v>
      </c>
      <c r="C349" t="s">
        <v>19</v>
      </c>
      <c r="D349" t="s">
        <v>50</v>
      </c>
      <c r="E349" t="s">
        <v>489</v>
      </c>
      <c r="F349" t="s">
        <v>43</v>
      </c>
      <c r="G349" t="s">
        <v>936</v>
      </c>
      <c r="H349">
        <v>20</v>
      </c>
      <c r="I349" s="8">
        <v>200000</v>
      </c>
      <c r="J349" s="8">
        <v>30000</v>
      </c>
      <c r="K349">
        <v>0</v>
      </c>
      <c r="L349" s="8">
        <v>6000</v>
      </c>
      <c r="M349" t="s">
        <v>24</v>
      </c>
      <c r="N349" s="11" t="str">
        <f>TEXT(tblSales[[#This Row],[Date]],"mmmm")</f>
        <v>August</v>
      </c>
      <c r="O349" s="11" t="str">
        <f>"Q"&amp;ROUNDUP(MONTH(tblSales[[#This Row],[Date]])/3,0)</f>
        <v>Q3</v>
      </c>
      <c r="P349" s="11">
        <f>YEAR(tblSales[[#This Row],[Date]])</f>
        <v>2024</v>
      </c>
      <c r="Q349" s="5">
        <f>tblSales[[#This Row],[Profit]]/tblSales[[#This Row],[Revenue]]</f>
        <v>0.15</v>
      </c>
      <c r="R349" s="8">
        <f>tblSales[[#This Row],[Revenue]]*1.1</f>
        <v>220000</v>
      </c>
    </row>
    <row r="350" spans="1:18">
      <c r="A350" t="s">
        <v>937</v>
      </c>
      <c r="B350" s="7">
        <v>45518</v>
      </c>
      <c r="C350" t="s">
        <v>33</v>
      </c>
      <c r="D350" t="s">
        <v>34</v>
      </c>
      <c r="E350" t="s">
        <v>492</v>
      </c>
      <c r="F350" t="s">
        <v>36</v>
      </c>
      <c r="G350" t="s">
        <v>938</v>
      </c>
      <c r="H350">
        <v>400</v>
      </c>
      <c r="I350" s="8">
        <v>1600000</v>
      </c>
      <c r="J350" s="8">
        <v>320000</v>
      </c>
      <c r="K350">
        <v>0</v>
      </c>
      <c r="L350" s="8">
        <v>80000</v>
      </c>
      <c r="M350" t="s">
        <v>38</v>
      </c>
      <c r="N350" s="11" t="str">
        <f>TEXT(tblSales[[#This Row],[Date]],"mmmm")</f>
        <v>August</v>
      </c>
      <c r="O350" s="11" t="str">
        <f>"Q"&amp;ROUNDUP(MONTH(tblSales[[#This Row],[Date]])/3,0)</f>
        <v>Q3</v>
      </c>
      <c r="P350" s="11">
        <f>YEAR(tblSales[[#This Row],[Date]])</f>
        <v>2024</v>
      </c>
      <c r="Q350" s="5">
        <f>tblSales[[#This Row],[Profit]]/tblSales[[#This Row],[Revenue]]</f>
        <v>0.2</v>
      </c>
      <c r="R350" s="8">
        <f>tblSales[[#This Row],[Revenue]]*1.1</f>
        <v>1760000</v>
      </c>
    </row>
    <row r="351" spans="1:18">
      <c r="A351" t="s">
        <v>939</v>
      </c>
      <c r="B351" s="7">
        <v>45518</v>
      </c>
      <c r="C351" t="s">
        <v>26</v>
      </c>
      <c r="D351" t="s">
        <v>46</v>
      </c>
      <c r="E351" t="s">
        <v>495</v>
      </c>
      <c r="F351" t="s">
        <v>22</v>
      </c>
      <c r="G351" t="s">
        <v>940</v>
      </c>
      <c r="H351">
        <v>200</v>
      </c>
      <c r="I351" s="8">
        <v>400000</v>
      </c>
      <c r="J351" s="8">
        <v>80000</v>
      </c>
      <c r="K351">
        <v>0</v>
      </c>
      <c r="L351" s="8">
        <v>10000</v>
      </c>
      <c r="M351" t="s">
        <v>24</v>
      </c>
      <c r="N351" s="11" t="str">
        <f>TEXT(tblSales[[#This Row],[Date]],"mmmm")</f>
        <v>August</v>
      </c>
      <c r="O351" s="11" t="str">
        <f>"Q"&amp;ROUNDUP(MONTH(tblSales[[#This Row],[Date]])/3,0)</f>
        <v>Q3</v>
      </c>
      <c r="P351" s="11">
        <f>YEAR(tblSales[[#This Row],[Date]])</f>
        <v>2024</v>
      </c>
      <c r="Q351" s="5">
        <f>tblSales[[#This Row],[Profit]]/tblSales[[#This Row],[Revenue]]</f>
        <v>0.2</v>
      </c>
      <c r="R351" s="8">
        <f>tblSales[[#This Row],[Revenue]]*1.1</f>
        <v>440000</v>
      </c>
    </row>
    <row r="352" spans="1:18">
      <c r="A352" t="s">
        <v>941</v>
      </c>
      <c r="B352" s="7">
        <v>45519</v>
      </c>
      <c r="C352" t="s">
        <v>19</v>
      </c>
      <c r="D352" t="s">
        <v>20</v>
      </c>
      <c r="E352" t="s">
        <v>498</v>
      </c>
      <c r="F352" t="s">
        <v>29</v>
      </c>
      <c r="G352" t="s">
        <v>942</v>
      </c>
      <c r="H352">
        <v>90</v>
      </c>
      <c r="I352" s="8">
        <v>540000</v>
      </c>
      <c r="J352" s="8">
        <v>108000</v>
      </c>
      <c r="K352">
        <v>0</v>
      </c>
      <c r="L352" s="8">
        <v>12000</v>
      </c>
      <c r="M352" t="s">
        <v>31</v>
      </c>
      <c r="N352" s="11" t="str">
        <f>TEXT(tblSales[[#This Row],[Date]],"mmmm")</f>
        <v>August</v>
      </c>
      <c r="O352" s="11" t="str">
        <f>"Q"&amp;ROUNDUP(MONTH(tblSales[[#This Row],[Date]])/3,0)</f>
        <v>Q3</v>
      </c>
      <c r="P352" s="11">
        <f>YEAR(tblSales[[#This Row],[Date]])</f>
        <v>2024</v>
      </c>
      <c r="Q352" s="5">
        <f>tblSales[[#This Row],[Profit]]/tblSales[[#This Row],[Revenue]]</f>
        <v>0.2</v>
      </c>
      <c r="R352" s="8">
        <f>tblSales[[#This Row],[Revenue]]*1.1</f>
        <v>594000</v>
      </c>
    </row>
    <row r="353" spans="1:18">
      <c r="A353" t="s">
        <v>943</v>
      </c>
      <c r="B353" s="7">
        <v>45519</v>
      </c>
      <c r="C353" t="s">
        <v>33</v>
      </c>
      <c r="D353" t="s">
        <v>54</v>
      </c>
      <c r="E353" t="s">
        <v>633</v>
      </c>
      <c r="F353" t="s">
        <v>43</v>
      </c>
      <c r="G353" t="s">
        <v>944</v>
      </c>
      <c r="H353">
        <v>15</v>
      </c>
      <c r="I353" s="8">
        <v>450000</v>
      </c>
      <c r="J353" s="8">
        <v>67500</v>
      </c>
      <c r="K353">
        <v>0</v>
      </c>
      <c r="L353" s="8">
        <v>15000</v>
      </c>
      <c r="M353" t="s">
        <v>24</v>
      </c>
      <c r="N353" s="11" t="str">
        <f>TEXT(tblSales[[#This Row],[Date]],"mmmm")</f>
        <v>August</v>
      </c>
      <c r="O353" s="11" t="str">
        <f>"Q"&amp;ROUNDUP(MONTH(tblSales[[#This Row],[Date]])/3,0)</f>
        <v>Q3</v>
      </c>
      <c r="P353" s="11">
        <f>YEAR(tblSales[[#This Row],[Date]])</f>
        <v>2024</v>
      </c>
      <c r="Q353" s="5">
        <f>tblSales[[#This Row],[Profit]]/tblSales[[#This Row],[Revenue]]</f>
        <v>0.15</v>
      </c>
      <c r="R353" s="8">
        <f>tblSales[[#This Row],[Revenue]]*1.1</f>
        <v>495000</v>
      </c>
    </row>
    <row r="354" spans="1:18">
      <c r="A354" t="s">
        <v>945</v>
      </c>
      <c r="B354" s="7">
        <v>45520</v>
      </c>
      <c r="C354" t="s">
        <v>26</v>
      </c>
      <c r="D354" t="s">
        <v>27</v>
      </c>
      <c r="E354" t="s">
        <v>636</v>
      </c>
      <c r="F354" t="s">
        <v>22</v>
      </c>
      <c r="G354" t="s">
        <v>946</v>
      </c>
      <c r="H354">
        <v>150</v>
      </c>
      <c r="I354" s="8">
        <v>300000</v>
      </c>
      <c r="J354" s="8">
        <v>60000</v>
      </c>
      <c r="K354">
        <v>0</v>
      </c>
      <c r="L354" s="8">
        <v>8000</v>
      </c>
      <c r="M354" t="s">
        <v>24</v>
      </c>
      <c r="N354" s="11" t="str">
        <f>TEXT(tblSales[[#This Row],[Date]],"mmmm")</f>
        <v>August</v>
      </c>
      <c r="O354" s="11" t="str">
        <f>"Q"&amp;ROUNDUP(MONTH(tblSales[[#This Row],[Date]])/3,0)</f>
        <v>Q3</v>
      </c>
      <c r="P354" s="11">
        <f>YEAR(tblSales[[#This Row],[Date]])</f>
        <v>2024</v>
      </c>
      <c r="Q354" s="5">
        <f>tblSales[[#This Row],[Profit]]/tblSales[[#This Row],[Revenue]]</f>
        <v>0.2</v>
      </c>
      <c r="R354" s="8">
        <f>tblSales[[#This Row],[Revenue]]*1.1</f>
        <v>330000</v>
      </c>
    </row>
    <row r="355" spans="1:18">
      <c r="A355" t="s">
        <v>947</v>
      </c>
      <c r="B355" s="7">
        <v>45520</v>
      </c>
      <c r="C355" t="s">
        <v>40</v>
      </c>
      <c r="D355" t="s">
        <v>93</v>
      </c>
      <c r="E355" t="s">
        <v>639</v>
      </c>
      <c r="F355" t="s">
        <v>29</v>
      </c>
      <c r="G355" t="s">
        <v>948</v>
      </c>
      <c r="H355">
        <v>200</v>
      </c>
      <c r="I355" s="8">
        <v>1000000</v>
      </c>
      <c r="J355" s="8">
        <v>200000</v>
      </c>
      <c r="K355">
        <v>0</v>
      </c>
      <c r="L355" s="8">
        <v>30000</v>
      </c>
      <c r="M355" t="s">
        <v>31</v>
      </c>
      <c r="N355" s="11" t="str">
        <f>TEXT(tblSales[[#This Row],[Date]],"mmmm")</f>
        <v>August</v>
      </c>
      <c r="O355" s="11" t="str">
        <f>"Q"&amp;ROUNDUP(MONTH(tblSales[[#This Row],[Date]])/3,0)</f>
        <v>Q3</v>
      </c>
      <c r="P355" s="11">
        <f>YEAR(tblSales[[#This Row],[Date]])</f>
        <v>2024</v>
      </c>
      <c r="Q355" s="5">
        <f>tblSales[[#This Row],[Profit]]/tblSales[[#This Row],[Revenue]]</f>
        <v>0.2</v>
      </c>
      <c r="R355" s="8">
        <f>tblSales[[#This Row],[Revenue]]*1.1</f>
        <v>1100000</v>
      </c>
    </row>
    <row r="356" spans="1:18">
      <c r="A356" t="s">
        <v>949</v>
      </c>
      <c r="B356" s="7">
        <v>45521</v>
      </c>
      <c r="C356" t="s">
        <v>19</v>
      </c>
      <c r="D356" t="s">
        <v>50</v>
      </c>
      <c r="E356" t="s">
        <v>950</v>
      </c>
      <c r="F356" t="s">
        <v>36</v>
      </c>
      <c r="G356" t="s">
        <v>951</v>
      </c>
      <c r="H356">
        <v>80</v>
      </c>
      <c r="I356" s="8">
        <v>800000</v>
      </c>
      <c r="J356" s="8">
        <v>160000</v>
      </c>
      <c r="K356">
        <v>0</v>
      </c>
      <c r="L356" s="8">
        <v>20000</v>
      </c>
      <c r="M356" t="s">
        <v>38</v>
      </c>
      <c r="N356" s="11" t="str">
        <f>TEXT(tblSales[[#This Row],[Date]],"mmmm")</f>
        <v>August</v>
      </c>
      <c r="O356" s="11" t="str">
        <f>"Q"&amp;ROUNDUP(MONTH(tblSales[[#This Row],[Date]])/3,0)</f>
        <v>Q3</v>
      </c>
      <c r="P356" s="11">
        <f>YEAR(tblSales[[#This Row],[Date]])</f>
        <v>2024</v>
      </c>
      <c r="Q356" s="5">
        <f>tblSales[[#This Row],[Profit]]/tblSales[[#This Row],[Revenue]]</f>
        <v>0.2</v>
      </c>
      <c r="R356" s="8">
        <f>tblSales[[#This Row],[Revenue]]*1.1</f>
        <v>880000</v>
      </c>
    </row>
    <row r="357" spans="1:18">
      <c r="A357" t="s">
        <v>952</v>
      </c>
      <c r="B357" s="7">
        <v>45521</v>
      </c>
      <c r="C357" t="s">
        <v>26</v>
      </c>
      <c r="D357" t="s">
        <v>71</v>
      </c>
      <c r="E357" t="s">
        <v>953</v>
      </c>
      <c r="F357" t="s">
        <v>22</v>
      </c>
      <c r="G357" t="s">
        <v>954</v>
      </c>
      <c r="H357">
        <v>20</v>
      </c>
      <c r="I357" s="8">
        <v>500000</v>
      </c>
      <c r="J357" s="8">
        <v>75000</v>
      </c>
      <c r="K357">
        <v>0</v>
      </c>
      <c r="L357" s="8">
        <v>10000</v>
      </c>
      <c r="M357" t="s">
        <v>24</v>
      </c>
      <c r="N357" s="11" t="str">
        <f>TEXT(tblSales[[#This Row],[Date]],"mmmm")</f>
        <v>August</v>
      </c>
      <c r="O357" s="11" t="str">
        <f>"Q"&amp;ROUNDUP(MONTH(tblSales[[#This Row],[Date]])/3,0)</f>
        <v>Q3</v>
      </c>
      <c r="P357" s="11">
        <f>YEAR(tblSales[[#This Row],[Date]])</f>
        <v>2024</v>
      </c>
      <c r="Q357" s="5">
        <f>tblSales[[#This Row],[Profit]]/tblSales[[#This Row],[Revenue]]</f>
        <v>0.15</v>
      </c>
      <c r="R357" s="8">
        <f>tblSales[[#This Row],[Revenue]]*1.1</f>
        <v>550000</v>
      </c>
    </row>
    <row r="358" spans="1:18">
      <c r="A358" t="s">
        <v>955</v>
      </c>
      <c r="B358" s="7">
        <v>45522</v>
      </c>
      <c r="C358" t="s">
        <v>40</v>
      </c>
      <c r="D358" t="s">
        <v>41</v>
      </c>
      <c r="E358" t="s">
        <v>956</v>
      </c>
      <c r="F358" t="s">
        <v>29</v>
      </c>
      <c r="G358" t="s">
        <v>957</v>
      </c>
      <c r="H358">
        <v>500</v>
      </c>
      <c r="I358" s="8">
        <v>500000</v>
      </c>
      <c r="J358" s="8">
        <v>100000</v>
      </c>
      <c r="K358">
        <v>0</v>
      </c>
      <c r="L358" s="8">
        <v>25000</v>
      </c>
      <c r="M358" t="s">
        <v>31</v>
      </c>
      <c r="N358" s="11" t="str">
        <f>TEXT(tblSales[[#This Row],[Date]],"mmmm")</f>
        <v>August</v>
      </c>
      <c r="O358" s="11" t="str">
        <f>"Q"&amp;ROUNDUP(MONTH(tblSales[[#This Row],[Date]])/3,0)</f>
        <v>Q3</v>
      </c>
      <c r="P358" s="11">
        <f>YEAR(tblSales[[#This Row],[Date]])</f>
        <v>2024</v>
      </c>
      <c r="Q358" s="5">
        <f>tblSales[[#This Row],[Profit]]/tblSales[[#This Row],[Revenue]]</f>
        <v>0.2</v>
      </c>
      <c r="R358" s="8">
        <f>tblSales[[#This Row],[Revenue]]*1.1</f>
        <v>550000</v>
      </c>
    </row>
    <row r="359" spans="1:18">
      <c r="A359" t="s">
        <v>958</v>
      </c>
      <c r="B359" s="7">
        <v>45522</v>
      </c>
      <c r="C359" t="s">
        <v>19</v>
      </c>
      <c r="D359" t="s">
        <v>20</v>
      </c>
      <c r="E359" t="s">
        <v>959</v>
      </c>
      <c r="F359" t="s">
        <v>43</v>
      </c>
      <c r="G359" t="s">
        <v>960</v>
      </c>
      <c r="H359">
        <v>12</v>
      </c>
      <c r="I359" s="8">
        <v>240000</v>
      </c>
      <c r="J359" s="8">
        <v>36000</v>
      </c>
      <c r="K359">
        <v>0</v>
      </c>
      <c r="L359" s="8">
        <v>8000</v>
      </c>
      <c r="M359" t="s">
        <v>24</v>
      </c>
      <c r="N359" s="11" t="str">
        <f>TEXT(tblSales[[#This Row],[Date]],"mmmm")</f>
        <v>August</v>
      </c>
      <c r="O359" s="11" t="str">
        <f>"Q"&amp;ROUNDUP(MONTH(tblSales[[#This Row],[Date]])/3,0)</f>
        <v>Q3</v>
      </c>
      <c r="P359" s="11">
        <f>YEAR(tblSales[[#This Row],[Date]])</f>
        <v>2024</v>
      </c>
      <c r="Q359" s="5">
        <f>tblSales[[#This Row],[Profit]]/tblSales[[#This Row],[Revenue]]</f>
        <v>0.15</v>
      </c>
      <c r="R359" s="8">
        <f>tblSales[[#This Row],[Revenue]]*1.1</f>
        <v>264000</v>
      </c>
    </row>
    <row r="360" spans="1:18">
      <c r="A360" t="s">
        <v>961</v>
      </c>
      <c r="B360" s="7">
        <v>45523</v>
      </c>
      <c r="C360" t="s">
        <v>33</v>
      </c>
      <c r="D360" t="s">
        <v>34</v>
      </c>
      <c r="E360" t="s">
        <v>962</v>
      </c>
      <c r="F360" t="s">
        <v>36</v>
      </c>
      <c r="G360" t="s">
        <v>963</v>
      </c>
      <c r="H360">
        <v>300</v>
      </c>
      <c r="I360" s="8">
        <v>900000</v>
      </c>
      <c r="J360" s="8">
        <v>180000</v>
      </c>
      <c r="K360">
        <v>0</v>
      </c>
      <c r="L360" s="8">
        <v>30000</v>
      </c>
      <c r="M360" t="s">
        <v>38</v>
      </c>
      <c r="N360" s="11" t="str">
        <f>TEXT(tblSales[[#This Row],[Date]],"mmmm")</f>
        <v>August</v>
      </c>
      <c r="O360" s="11" t="str">
        <f>"Q"&amp;ROUNDUP(MONTH(tblSales[[#This Row],[Date]])/3,0)</f>
        <v>Q3</v>
      </c>
      <c r="P360" s="11">
        <f>YEAR(tblSales[[#This Row],[Date]])</f>
        <v>2024</v>
      </c>
      <c r="Q360" s="5">
        <f>tblSales[[#This Row],[Profit]]/tblSales[[#This Row],[Revenue]]</f>
        <v>0.2</v>
      </c>
      <c r="R360" s="8">
        <f>tblSales[[#This Row],[Revenue]]*1.1</f>
        <v>990000</v>
      </c>
    </row>
    <row r="361" spans="1:18">
      <c r="A361" t="s">
        <v>964</v>
      </c>
      <c r="B361" s="7">
        <v>45523</v>
      </c>
      <c r="C361" t="s">
        <v>26</v>
      </c>
      <c r="D361" t="s">
        <v>27</v>
      </c>
      <c r="E361" t="s">
        <v>965</v>
      </c>
      <c r="F361" t="s">
        <v>22</v>
      </c>
      <c r="G361" t="s">
        <v>966</v>
      </c>
      <c r="H361">
        <v>60</v>
      </c>
      <c r="I361" s="8">
        <v>180000</v>
      </c>
      <c r="J361" s="8">
        <v>36000</v>
      </c>
      <c r="K361">
        <v>0</v>
      </c>
      <c r="L361" s="8">
        <v>6000</v>
      </c>
      <c r="M361" t="s">
        <v>24</v>
      </c>
      <c r="N361" s="11" t="str">
        <f>TEXT(tblSales[[#This Row],[Date]],"mmmm")</f>
        <v>August</v>
      </c>
      <c r="O361" s="11" t="str">
        <f>"Q"&amp;ROUNDUP(MONTH(tblSales[[#This Row],[Date]])/3,0)</f>
        <v>Q3</v>
      </c>
      <c r="P361" s="11">
        <f>YEAR(tblSales[[#This Row],[Date]])</f>
        <v>2024</v>
      </c>
      <c r="Q361" s="5">
        <f>tblSales[[#This Row],[Profit]]/tblSales[[#This Row],[Revenue]]</f>
        <v>0.2</v>
      </c>
      <c r="R361" s="8">
        <f>tblSales[[#This Row],[Revenue]]*1.1</f>
        <v>198000</v>
      </c>
    </row>
    <row r="362" spans="1:18">
      <c r="A362" t="s">
        <v>967</v>
      </c>
      <c r="B362" s="7">
        <v>45524</v>
      </c>
      <c r="C362" t="s">
        <v>40</v>
      </c>
      <c r="D362" t="s">
        <v>61</v>
      </c>
      <c r="E362" t="s">
        <v>968</v>
      </c>
      <c r="F362" t="s">
        <v>29</v>
      </c>
      <c r="G362" t="s">
        <v>969</v>
      </c>
      <c r="H362">
        <v>150</v>
      </c>
      <c r="I362" s="8">
        <v>225000</v>
      </c>
      <c r="J362" s="8">
        <v>45000</v>
      </c>
      <c r="K362">
        <v>0</v>
      </c>
      <c r="L362" s="8">
        <v>10000</v>
      </c>
      <c r="M362" t="s">
        <v>31</v>
      </c>
      <c r="N362" s="11" t="str">
        <f>TEXT(tblSales[[#This Row],[Date]],"mmmm")</f>
        <v>August</v>
      </c>
      <c r="O362" s="11" t="str">
        <f>"Q"&amp;ROUNDUP(MONTH(tblSales[[#This Row],[Date]])/3,0)</f>
        <v>Q3</v>
      </c>
      <c r="P362" s="11">
        <f>YEAR(tblSales[[#This Row],[Date]])</f>
        <v>2024</v>
      </c>
      <c r="Q362" s="5">
        <f>tblSales[[#This Row],[Profit]]/tblSales[[#This Row],[Revenue]]</f>
        <v>0.2</v>
      </c>
      <c r="R362" s="8">
        <f>tblSales[[#This Row],[Revenue]]*1.1</f>
        <v>247500</v>
      </c>
    </row>
    <row r="363" spans="1:18">
      <c r="A363" t="s">
        <v>970</v>
      </c>
      <c r="B363" s="7">
        <v>45524</v>
      </c>
      <c r="C363" t="s">
        <v>19</v>
      </c>
      <c r="D363" t="s">
        <v>100</v>
      </c>
      <c r="E363" t="s">
        <v>971</v>
      </c>
      <c r="F363" t="s">
        <v>43</v>
      </c>
      <c r="G363" t="s">
        <v>972</v>
      </c>
      <c r="H363">
        <v>10</v>
      </c>
      <c r="I363" s="8">
        <v>150000</v>
      </c>
      <c r="J363" s="8">
        <v>22500</v>
      </c>
      <c r="K363">
        <v>0</v>
      </c>
      <c r="L363" s="8">
        <v>5000</v>
      </c>
      <c r="M363" t="s">
        <v>24</v>
      </c>
      <c r="N363" s="11" t="str">
        <f>TEXT(tblSales[[#This Row],[Date]],"mmmm")</f>
        <v>August</v>
      </c>
      <c r="O363" s="11" t="str">
        <f>"Q"&amp;ROUNDUP(MONTH(tblSales[[#This Row],[Date]])/3,0)</f>
        <v>Q3</v>
      </c>
      <c r="P363" s="11">
        <f>YEAR(tblSales[[#This Row],[Date]])</f>
        <v>2024</v>
      </c>
      <c r="Q363" s="5">
        <f>tblSales[[#This Row],[Profit]]/tblSales[[#This Row],[Revenue]]</f>
        <v>0.15</v>
      </c>
      <c r="R363" s="8">
        <f>tblSales[[#This Row],[Revenue]]*1.1</f>
        <v>165000</v>
      </c>
    </row>
    <row r="364" spans="1:18">
      <c r="A364" t="s">
        <v>973</v>
      </c>
      <c r="B364" s="7">
        <v>45525</v>
      </c>
      <c r="C364" t="s">
        <v>33</v>
      </c>
      <c r="D364" t="s">
        <v>54</v>
      </c>
      <c r="E364" t="s">
        <v>974</v>
      </c>
      <c r="F364" t="s">
        <v>36</v>
      </c>
      <c r="G364" t="s">
        <v>975</v>
      </c>
      <c r="H364">
        <v>200</v>
      </c>
      <c r="I364" s="8">
        <v>1000000</v>
      </c>
      <c r="J364" s="8">
        <v>200000</v>
      </c>
      <c r="K364">
        <v>0</v>
      </c>
      <c r="L364" s="8">
        <v>40000</v>
      </c>
      <c r="M364" t="s">
        <v>38</v>
      </c>
      <c r="N364" s="11" t="str">
        <f>TEXT(tblSales[[#This Row],[Date]],"mmmm")</f>
        <v>August</v>
      </c>
      <c r="O364" s="11" t="str">
        <f>"Q"&amp;ROUNDUP(MONTH(tblSales[[#This Row],[Date]])/3,0)</f>
        <v>Q3</v>
      </c>
      <c r="P364" s="11">
        <f>YEAR(tblSales[[#This Row],[Date]])</f>
        <v>2024</v>
      </c>
      <c r="Q364" s="5">
        <f>tblSales[[#This Row],[Profit]]/tblSales[[#This Row],[Revenue]]</f>
        <v>0.2</v>
      </c>
      <c r="R364" s="8">
        <f>tblSales[[#This Row],[Revenue]]*1.1</f>
        <v>1100000</v>
      </c>
    </row>
    <row r="365" spans="1:18">
      <c r="A365" t="s">
        <v>976</v>
      </c>
      <c r="B365" s="7">
        <v>45525</v>
      </c>
      <c r="C365" t="s">
        <v>26</v>
      </c>
      <c r="D365" t="s">
        <v>46</v>
      </c>
      <c r="E365" t="s">
        <v>977</v>
      </c>
      <c r="F365" t="s">
        <v>22</v>
      </c>
      <c r="G365" t="s">
        <v>978</v>
      </c>
      <c r="H365">
        <v>80</v>
      </c>
      <c r="I365" s="8">
        <v>320000</v>
      </c>
      <c r="J365" s="8">
        <v>64000</v>
      </c>
      <c r="K365">
        <v>0</v>
      </c>
      <c r="L365" s="8">
        <v>8000</v>
      </c>
      <c r="M365" t="s">
        <v>24</v>
      </c>
      <c r="N365" s="11" t="str">
        <f>TEXT(tblSales[[#This Row],[Date]],"mmmm")</f>
        <v>August</v>
      </c>
      <c r="O365" s="11" t="str">
        <f>"Q"&amp;ROUNDUP(MONTH(tblSales[[#This Row],[Date]])/3,0)</f>
        <v>Q3</v>
      </c>
      <c r="P365" s="11">
        <f>YEAR(tblSales[[#This Row],[Date]])</f>
        <v>2024</v>
      </c>
      <c r="Q365" s="5">
        <f>tblSales[[#This Row],[Profit]]/tblSales[[#This Row],[Revenue]]</f>
        <v>0.2</v>
      </c>
      <c r="R365" s="8">
        <f>tblSales[[#This Row],[Revenue]]*1.1</f>
        <v>352000</v>
      </c>
    </row>
    <row r="366" spans="1:18">
      <c r="A366" t="s">
        <v>979</v>
      </c>
      <c r="B366" s="7">
        <v>45526</v>
      </c>
      <c r="C366" t="s">
        <v>40</v>
      </c>
      <c r="D366" t="s">
        <v>41</v>
      </c>
      <c r="E366" t="s">
        <v>980</v>
      </c>
      <c r="F366" t="s">
        <v>29</v>
      </c>
      <c r="G366" t="s">
        <v>981</v>
      </c>
      <c r="H366">
        <v>120</v>
      </c>
      <c r="I366" s="8">
        <v>240000</v>
      </c>
      <c r="J366" s="8">
        <v>48000</v>
      </c>
      <c r="K366">
        <v>0</v>
      </c>
      <c r="L366" s="8">
        <v>6000</v>
      </c>
      <c r="M366" t="s">
        <v>31</v>
      </c>
      <c r="N366" s="11" t="str">
        <f>TEXT(tblSales[[#This Row],[Date]],"mmmm")</f>
        <v>August</v>
      </c>
      <c r="O366" s="11" t="str">
        <f>"Q"&amp;ROUNDUP(MONTH(tblSales[[#This Row],[Date]])/3,0)</f>
        <v>Q3</v>
      </c>
      <c r="P366" s="11">
        <f>YEAR(tblSales[[#This Row],[Date]])</f>
        <v>2024</v>
      </c>
      <c r="Q366" s="5">
        <f>tblSales[[#This Row],[Profit]]/tblSales[[#This Row],[Revenue]]</f>
        <v>0.2</v>
      </c>
      <c r="R366" s="8">
        <f>tblSales[[#This Row],[Revenue]]*1.1</f>
        <v>264000</v>
      </c>
    </row>
    <row r="367" spans="1:18">
      <c r="A367" t="s">
        <v>982</v>
      </c>
      <c r="B367" s="7">
        <v>45526</v>
      </c>
      <c r="C367" t="s">
        <v>19</v>
      </c>
      <c r="D367" t="s">
        <v>50</v>
      </c>
      <c r="E367" t="s">
        <v>983</v>
      </c>
      <c r="F367" t="s">
        <v>43</v>
      </c>
      <c r="G367" t="s">
        <v>984</v>
      </c>
      <c r="H367">
        <v>60</v>
      </c>
      <c r="I367" s="8">
        <v>180000</v>
      </c>
      <c r="J367" s="8">
        <v>27000</v>
      </c>
      <c r="K367">
        <v>0</v>
      </c>
      <c r="L367" s="8">
        <v>5000</v>
      </c>
      <c r="M367" t="s">
        <v>24</v>
      </c>
      <c r="N367" s="11" t="str">
        <f>TEXT(tblSales[[#This Row],[Date]],"mmmm")</f>
        <v>August</v>
      </c>
      <c r="O367" s="11" t="str">
        <f>"Q"&amp;ROUNDUP(MONTH(tblSales[[#This Row],[Date]])/3,0)</f>
        <v>Q3</v>
      </c>
      <c r="P367" s="11">
        <f>YEAR(tblSales[[#This Row],[Date]])</f>
        <v>2024</v>
      </c>
      <c r="Q367" s="5">
        <f>tblSales[[#This Row],[Profit]]/tblSales[[#This Row],[Revenue]]</f>
        <v>0.15</v>
      </c>
      <c r="R367" s="8">
        <f>tblSales[[#This Row],[Revenue]]*1.1</f>
        <v>198000</v>
      </c>
    </row>
    <row r="368" spans="1:18">
      <c r="A368" t="s">
        <v>985</v>
      </c>
      <c r="B368" s="7">
        <v>45527</v>
      </c>
      <c r="C368" t="s">
        <v>33</v>
      </c>
      <c r="D368" t="s">
        <v>34</v>
      </c>
      <c r="E368" t="s">
        <v>986</v>
      </c>
      <c r="F368" t="s">
        <v>36</v>
      </c>
      <c r="G368" t="s">
        <v>987</v>
      </c>
      <c r="H368">
        <v>400</v>
      </c>
      <c r="I368" s="8">
        <v>800000</v>
      </c>
      <c r="J368" s="8">
        <v>160000</v>
      </c>
      <c r="K368">
        <v>0</v>
      </c>
      <c r="L368" s="8">
        <v>20000</v>
      </c>
      <c r="M368" t="s">
        <v>38</v>
      </c>
      <c r="N368" s="11" t="str">
        <f>TEXT(tblSales[[#This Row],[Date]],"mmmm")</f>
        <v>August</v>
      </c>
      <c r="O368" s="11" t="str">
        <f>"Q"&amp;ROUNDUP(MONTH(tblSales[[#This Row],[Date]])/3,0)</f>
        <v>Q3</v>
      </c>
      <c r="P368" s="11">
        <f>YEAR(tblSales[[#This Row],[Date]])</f>
        <v>2024</v>
      </c>
      <c r="Q368" s="5">
        <f>tblSales[[#This Row],[Profit]]/tblSales[[#This Row],[Revenue]]</f>
        <v>0.2</v>
      </c>
      <c r="R368" s="8">
        <f>tblSales[[#This Row],[Revenue]]*1.1</f>
        <v>880000</v>
      </c>
    </row>
    <row r="369" spans="1:18">
      <c r="A369" t="s">
        <v>988</v>
      </c>
      <c r="B369" s="7">
        <v>45527</v>
      </c>
      <c r="C369" t="s">
        <v>26</v>
      </c>
      <c r="D369" t="s">
        <v>27</v>
      </c>
      <c r="E369" t="s">
        <v>989</v>
      </c>
      <c r="F369" t="s">
        <v>22</v>
      </c>
      <c r="G369" t="s">
        <v>990</v>
      </c>
      <c r="H369">
        <v>100</v>
      </c>
      <c r="I369" s="8">
        <v>200000</v>
      </c>
      <c r="J369" s="8">
        <v>40000</v>
      </c>
      <c r="K369">
        <v>0</v>
      </c>
      <c r="L369" s="8">
        <v>8000</v>
      </c>
      <c r="M369" t="s">
        <v>24</v>
      </c>
      <c r="N369" s="11" t="str">
        <f>TEXT(tblSales[[#This Row],[Date]],"mmmm")</f>
        <v>August</v>
      </c>
      <c r="O369" s="11" t="str">
        <f>"Q"&amp;ROUNDUP(MONTH(tblSales[[#This Row],[Date]])/3,0)</f>
        <v>Q3</v>
      </c>
      <c r="P369" s="11">
        <f>YEAR(tblSales[[#This Row],[Date]])</f>
        <v>2024</v>
      </c>
      <c r="Q369" s="5">
        <f>tblSales[[#This Row],[Profit]]/tblSales[[#This Row],[Revenue]]</f>
        <v>0.2</v>
      </c>
      <c r="R369" s="8">
        <f>tblSales[[#This Row],[Revenue]]*1.1</f>
        <v>220000</v>
      </c>
    </row>
    <row r="370" spans="1:18">
      <c r="A370" t="s">
        <v>991</v>
      </c>
      <c r="B370" s="7">
        <v>45528</v>
      </c>
      <c r="C370" t="s">
        <v>40</v>
      </c>
      <c r="D370" t="s">
        <v>126</v>
      </c>
      <c r="E370" t="s">
        <v>992</v>
      </c>
      <c r="F370" t="s">
        <v>29</v>
      </c>
      <c r="G370" t="s">
        <v>993</v>
      </c>
      <c r="H370">
        <v>300</v>
      </c>
      <c r="I370" s="8">
        <v>150000</v>
      </c>
      <c r="J370" s="8">
        <v>30000</v>
      </c>
      <c r="K370">
        <v>0</v>
      </c>
      <c r="L370" s="8">
        <v>5000</v>
      </c>
      <c r="M370" t="s">
        <v>31</v>
      </c>
      <c r="N370" s="11" t="str">
        <f>TEXT(tblSales[[#This Row],[Date]],"mmmm")</f>
        <v>August</v>
      </c>
      <c r="O370" s="11" t="str">
        <f>"Q"&amp;ROUNDUP(MONTH(tblSales[[#This Row],[Date]])/3,0)</f>
        <v>Q3</v>
      </c>
      <c r="P370" s="11">
        <f>YEAR(tblSales[[#This Row],[Date]])</f>
        <v>2024</v>
      </c>
      <c r="Q370" s="5">
        <f>tblSales[[#This Row],[Profit]]/tblSales[[#This Row],[Revenue]]</f>
        <v>0.2</v>
      </c>
      <c r="R370" s="8">
        <f>tblSales[[#This Row],[Revenue]]*1.1</f>
        <v>165000</v>
      </c>
    </row>
    <row r="371" spans="1:18">
      <c r="A371" t="s">
        <v>994</v>
      </c>
      <c r="B371" s="7">
        <v>45528</v>
      </c>
      <c r="C371" t="s">
        <v>19</v>
      </c>
      <c r="D371" t="s">
        <v>20</v>
      </c>
      <c r="E371" t="s">
        <v>995</v>
      </c>
      <c r="F371" t="s">
        <v>43</v>
      </c>
      <c r="G371" t="s">
        <v>996</v>
      </c>
      <c r="H371">
        <v>25</v>
      </c>
      <c r="I371" s="8">
        <v>125000</v>
      </c>
      <c r="J371" s="8">
        <v>18750</v>
      </c>
      <c r="K371">
        <v>0</v>
      </c>
      <c r="L371" s="8">
        <v>4000</v>
      </c>
      <c r="M371" t="s">
        <v>24</v>
      </c>
      <c r="N371" s="11" t="str">
        <f>TEXT(tblSales[[#This Row],[Date]],"mmmm")</f>
        <v>August</v>
      </c>
      <c r="O371" s="11" t="str">
        <f>"Q"&amp;ROUNDUP(MONTH(tblSales[[#This Row],[Date]])/3,0)</f>
        <v>Q3</v>
      </c>
      <c r="P371" s="11">
        <f>YEAR(tblSales[[#This Row],[Date]])</f>
        <v>2024</v>
      </c>
      <c r="Q371" s="5">
        <f>tblSales[[#This Row],[Profit]]/tblSales[[#This Row],[Revenue]]</f>
        <v>0.15</v>
      </c>
      <c r="R371" s="8">
        <f>tblSales[[#This Row],[Revenue]]*1.1</f>
        <v>137500</v>
      </c>
    </row>
    <row r="372" spans="1:18">
      <c r="A372" t="s">
        <v>997</v>
      </c>
      <c r="B372" s="7">
        <v>45529</v>
      </c>
      <c r="C372" t="s">
        <v>33</v>
      </c>
      <c r="D372" t="s">
        <v>54</v>
      </c>
      <c r="E372" t="s">
        <v>998</v>
      </c>
      <c r="F372" t="s">
        <v>36</v>
      </c>
      <c r="G372" t="s">
        <v>999</v>
      </c>
      <c r="H372">
        <v>500</v>
      </c>
      <c r="I372" s="8">
        <v>2000000</v>
      </c>
      <c r="J372" s="8">
        <v>400000</v>
      </c>
      <c r="K372">
        <v>0</v>
      </c>
      <c r="L372" s="8">
        <v>80000</v>
      </c>
      <c r="M372" t="s">
        <v>38</v>
      </c>
      <c r="N372" s="11" t="str">
        <f>TEXT(tblSales[[#This Row],[Date]],"mmmm")</f>
        <v>August</v>
      </c>
      <c r="O372" s="11" t="str">
        <f>"Q"&amp;ROUNDUP(MONTH(tblSales[[#This Row],[Date]])/3,0)</f>
        <v>Q3</v>
      </c>
      <c r="P372" s="11">
        <f>YEAR(tblSales[[#This Row],[Date]])</f>
        <v>2024</v>
      </c>
      <c r="Q372" s="5">
        <f>tblSales[[#This Row],[Profit]]/tblSales[[#This Row],[Revenue]]</f>
        <v>0.2</v>
      </c>
      <c r="R372" s="8">
        <f>tblSales[[#This Row],[Revenue]]*1.1</f>
        <v>2200000</v>
      </c>
    </row>
    <row r="373" spans="1:18">
      <c r="A373" t="s">
        <v>1000</v>
      </c>
      <c r="B373" s="7">
        <v>45529</v>
      </c>
      <c r="C373" t="s">
        <v>26</v>
      </c>
      <c r="D373" t="s">
        <v>71</v>
      </c>
      <c r="E373" t="s">
        <v>1001</v>
      </c>
      <c r="F373" t="s">
        <v>22</v>
      </c>
      <c r="G373" t="s">
        <v>1002</v>
      </c>
      <c r="H373">
        <v>40</v>
      </c>
      <c r="I373" s="8">
        <v>600000</v>
      </c>
      <c r="J373" s="8">
        <v>120000</v>
      </c>
      <c r="K373">
        <v>0</v>
      </c>
      <c r="L373" s="8">
        <v>15000</v>
      </c>
      <c r="M373" t="s">
        <v>24</v>
      </c>
      <c r="N373" s="11" t="str">
        <f>TEXT(tblSales[[#This Row],[Date]],"mmmm")</f>
        <v>August</v>
      </c>
      <c r="O373" s="11" t="str">
        <f>"Q"&amp;ROUNDUP(MONTH(tblSales[[#This Row],[Date]])/3,0)</f>
        <v>Q3</v>
      </c>
      <c r="P373" s="11">
        <f>YEAR(tblSales[[#This Row],[Date]])</f>
        <v>2024</v>
      </c>
      <c r="Q373" s="5">
        <f>tblSales[[#This Row],[Profit]]/tblSales[[#This Row],[Revenue]]</f>
        <v>0.2</v>
      </c>
      <c r="R373" s="8">
        <f>tblSales[[#This Row],[Revenue]]*1.1</f>
        <v>660000</v>
      </c>
    </row>
    <row r="374" spans="1:18">
      <c r="A374" t="s">
        <v>1003</v>
      </c>
      <c r="B374" s="7">
        <v>45530</v>
      </c>
      <c r="C374" t="s">
        <v>40</v>
      </c>
      <c r="D374" t="s">
        <v>41</v>
      </c>
      <c r="E374" t="s">
        <v>1004</v>
      </c>
      <c r="F374" t="s">
        <v>29</v>
      </c>
      <c r="G374" t="s">
        <v>1005</v>
      </c>
      <c r="H374">
        <v>1000</v>
      </c>
      <c r="I374" s="8">
        <v>100000</v>
      </c>
      <c r="J374" s="8">
        <v>20000</v>
      </c>
      <c r="K374">
        <v>0</v>
      </c>
      <c r="L374" s="8">
        <v>5000</v>
      </c>
      <c r="M374" t="s">
        <v>31</v>
      </c>
      <c r="N374" s="11" t="str">
        <f>TEXT(tblSales[[#This Row],[Date]],"mmmm")</f>
        <v>August</v>
      </c>
      <c r="O374" s="11" t="str">
        <f>"Q"&amp;ROUNDUP(MONTH(tblSales[[#This Row],[Date]])/3,0)</f>
        <v>Q3</v>
      </c>
      <c r="P374" s="11">
        <f>YEAR(tblSales[[#This Row],[Date]])</f>
        <v>2024</v>
      </c>
      <c r="Q374" s="5">
        <f>tblSales[[#This Row],[Profit]]/tblSales[[#This Row],[Revenue]]</f>
        <v>0.2</v>
      </c>
      <c r="R374" s="8">
        <f>tblSales[[#This Row],[Revenue]]*1.1</f>
        <v>110000</v>
      </c>
    </row>
    <row r="375" spans="1:18">
      <c r="A375" t="s">
        <v>1006</v>
      </c>
      <c r="B375" s="7">
        <v>45530</v>
      </c>
      <c r="C375" t="s">
        <v>19</v>
      </c>
      <c r="D375" t="s">
        <v>113</v>
      </c>
      <c r="E375" t="s">
        <v>1007</v>
      </c>
      <c r="F375" t="s">
        <v>43</v>
      </c>
      <c r="G375" t="s">
        <v>1008</v>
      </c>
      <c r="H375">
        <v>30</v>
      </c>
      <c r="I375" s="8">
        <v>300000</v>
      </c>
      <c r="J375" s="8">
        <v>45000</v>
      </c>
      <c r="K375">
        <v>0</v>
      </c>
      <c r="L375" s="8">
        <v>10000</v>
      </c>
      <c r="M375" t="s">
        <v>24</v>
      </c>
      <c r="N375" s="11" t="str">
        <f>TEXT(tblSales[[#This Row],[Date]],"mmmm")</f>
        <v>August</v>
      </c>
      <c r="O375" s="11" t="str">
        <f>"Q"&amp;ROUNDUP(MONTH(tblSales[[#This Row],[Date]])/3,0)</f>
        <v>Q3</v>
      </c>
      <c r="P375" s="11">
        <f>YEAR(tblSales[[#This Row],[Date]])</f>
        <v>2024</v>
      </c>
      <c r="Q375" s="5">
        <f>tblSales[[#This Row],[Profit]]/tblSales[[#This Row],[Revenue]]</f>
        <v>0.15</v>
      </c>
      <c r="R375" s="8">
        <f>tblSales[[#This Row],[Revenue]]*1.1</f>
        <v>330000</v>
      </c>
    </row>
    <row r="376" spans="1:18">
      <c r="A376" t="s">
        <v>1009</v>
      </c>
      <c r="B376" s="7">
        <v>45531</v>
      </c>
      <c r="C376" t="s">
        <v>33</v>
      </c>
      <c r="D376" t="s">
        <v>34</v>
      </c>
      <c r="E376" t="s">
        <v>1010</v>
      </c>
      <c r="F376" t="s">
        <v>36</v>
      </c>
      <c r="G376" t="s">
        <v>1011</v>
      </c>
      <c r="H376">
        <v>250</v>
      </c>
      <c r="I376" s="8">
        <v>3750000</v>
      </c>
      <c r="J376" s="8">
        <v>750000</v>
      </c>
      <c r="K376">
        <v>0</v>
      </c>
      <c r="L376" s="8">
        <v>100000</v>
      </c>
      <c r="M376" t="s">
        <v>38</v>
      </c>
      <c r="N376" s="11" t="str">
        <f>TEXT(tblSales[[#This Row],[Date]],"mmmm")</f>
        <v>August</v>
      </c>
      <c r="O376" s="11" t="str">
        <f>"Q"&amp;ROUNDUP(MONTH(tblSales[[#This Row],[Date]])/3,0)</f>
        <v>Q3</v>
      </c>
      <c r="P376" s="11">
        <f>YEAR(tblSales[[#This Row],[Date]])</f>
        <v>2024</v>
      </c>
      <c r="Q376" s="5">
        <f>tblSales[[#This Row],[Profit]]/tblSales[[#This Row],[Revenue]]</f>
        <v>0.2</v>
      </c>
      <c r="R376" s="8">
        <f>tblSales[[#This Row],[Revenue]]*1.1</f>
        <v>4125000</v>
      </c>
    </row>
    <row r="377" spans="1:18">
      <c r="A377" t="s">
        <v>1012</v>
      </c>
      <c r="B377" s="7">
        <v>45531</v>
      </c>
      <c r="C377" t="s">
        <v>26</v>
      </c>
      <c r="D377" t="s">
        <v>27</v>
      </c>
      <c r="E377" t="s">
        <v>1013</v>
      </c>
      <c r="F377" t="s">
        <v>22</v>
      </c>
      <c r="G377" t="s">
        <v>1014</v>
      </c>
      <c r="H377">
        <v>70</v>
      </c>
      <c r="I377" s="8">
        <v>210000</v>
      </c>
      <c r="J377" s="8">
        <v>42000</v>
      </c>
      <c r="K377">
        <v>0</v>
      </c>
      <c r="L377" s="8">
        <v>8000</v>
      </c>
      <c r="M377" t="s">
        <v>24</v>
      </c>
      <c r="N377" s="11" t="str">
        <f>TEXT(tblSales[[#This Row],[Date]],"mmmm")</f>
        <v>August</v>
      </c>
      <c r="O377" s="11" t="str">
        <f>"Q"&amp;ROUNDUP(MONTH(tblSales[[#This Row],[Date]])/3,0)</f>
        <v>Q3</v>
      </c>
      <c r="P377" s="11">
        <f>YEAR(tblSales[[#This Row],[Date]])</f>
        <v>2024</v>
      </c>
      <c r="Q377" s="5">
        <f>tblSales[[#This Row],[Profit]]/tblSales[[#This Row],[Revenue]]</f>
        <v>0.2</v>
      </c>
      <c r="R377" s="8">
        <f>tblSales[[#This Row],[Revenue]]*1.1</f>
        <v>231000</v>
      </c>
    </row>
    <row r="378" spans="1:18">
      <c r="A378" t="s">
        <v>1015</v>
      </c>
      <c r="B378" s="7">
        <v>45532</v>
      </c>
      <c r="C378" t="s">
        <v>40</v>
      </c>
      <c r="D378" t="s">
        <v>93</v>
      </c>
      <c r="E378" t="s">
        <v>1016</v>
      </c>
      <c r="F378" t="s">
        <v>29</v>
      </c>
      <c r="G378" t="s">
        <v>1017</v>
      </c>
      <c r="H378">
        <v>200</v>
      </c>
      <c r="I378" s="8">
        <v>200000</v>
      </c>
      <c r="J378" s="8">
        <v>40000</v>
      </c>
      <c r="K378">
        <v>0</v>
      </c>
      <c r="L378" s="8">
        <v>6000</v>
      </c>
      <c r="M378" t="s">
        <v>31</v>
      </c>
      <c r="N378" s="11" t="str">
        <f>TEXT(tblSales[[#This Row],[Date]],"mmmm")</f>
        <v>August</v>
      </c>
      <c r="O378" s="11" t="str">
        <f>"Q"&amp;ROUNDUP(MONTH(tblSales[[#This Row],[Date]])/3,0)</f>
        <v>Q3</v>
      </c>
      <c r="P378" s="11">
        <f>YEAR(tblSales[[#This Row],[Date]])</f>
        <v>2024</v>
      </c>
      <c r="Q378" s="5">
        <f>tblSales[[#This Row],[Profit]]/tblSales[[#This Row],[Revenue]]</f>
        <v>0.2</v>
      </c>
      <c r="R378" s="8">
        <f>tblSales[[#This Row],[Revenue]]*1.1</f>
        <v>220000</v>
      </c>
    </row>
    <row r="379" spans="1:18">
      <c r="A379" t="s">
        <v>1018</v>
      </c>
      <c r="B379" s="7">
        <v>45532</v>
      </c>
      <c r="C379" t="s">
        <v>19</v>
      </c>
      <c r="D379" t="s">
        <v>50</v>
      </c>
      <c r="E379" t="s">
        <v>1019</v>
      </c>
      <c r="F379" t="s">
        <v>43</v>
      </c>
      <c r="G379" t="s">
        <v>1020</v>
      </c>
      <c r="H379">
        <v>15</v>
      </c>
      <c r="I379" s="8">
        <v>75000</v>
      </c>
      <c r="J379" s="8">
        <v>11250</v>
      </c>
      <c r="K379">
        <v>0</v>
      </c>
      <c r="L379" s="8">
        <v>3000</v>
      </c>
      <c r="M379" t="s">
        <v>24</v>
      </c>
      <c r="N379" s="11" t="str">
        <f>TEXT(tblSales[[#This Row],[Date]],"mmmm")</f>
        <v>August</v>
      </c>
      <c r="O379" s="11" t="str">
        <f>"Q"&amp;ROUNDUP(MONTH(tblSales[[#This Row],[Date]])/3,0)</f>
        <v>Q3</v>
      </c>
      <c r="P379" s="11">
        <f>YEAR(tblSales[[#This Row],[Date]])</f>
        <v>2024</v>
      </c>
      <c r="Q379" s="5">
        <f>tblSales[[#This Row],[Profit]]/tblSales[[#This Row],[Revenue]]</f>
        <v>0.15</v>
      </c>
      <c r="R379" s="8">
        <f>tblSales[[#This Row],[Revenue]]*1.1</f>
        <v>82500</v>
      </c>
    </row>
    <row r="380" spans="1:18">
      <c r="A380" t="s">
        <v>1021</v>
      </c>
      <c r="B380" s="7">
        <v>45533</v>
      </c>
      <c r="C380" t="s">
        <v>33</v>
      </c>
      <c r="D380" t="s">
        <v>54</v>
      </c>
      <c r="E380" t="s">
        <v>1022</v>
      </c>
      <c r="F380" t="s">
        <v>36</v>
      </c>
      <c r="G380" t="s">
        <v>1023</v>
      </c>
      <c r="H380">
        <v>150</v>
      </c>
      <c r="I380" s="8">
        <v>1200000</v>
      </c>
      <c r="J380" s="8">
        <v>240000</v>
      </c>
      <c r="K380">
        <v>0</v>
      </c>
      <c r="L380" s="8">
        <v>30000</v>
      </c>
      <c r="M380" t="s">
        <v>38</v>
      </c>
      <c r="N380" s="11" t="str">
        <f>TEXT(tblSales[[#This Row],[Date]],"mmmm")</f>
        <v>August</v>
      </c>
      <c r="O380" s="11" t="str">
        <f>"Q"&amp;ROUNDUP(MONTH(tblSales[[#This Row],[Date]])/3,0)</f>
        <v>Q3</v>
      </c>
      <c r="P380" s="11">
        <f>YEAR(tblSales[[#This Row],[Date]])</f>
        <v>2024</v>
      </c>
      <c r="Q380" s="5">
        <f>tblSales[[#This Row],[Profit]]/tblSales[[#This Row],[Revenue]]</f>
        <v>0.2</v>
      </c>
      <c r="R380" s="8">
        <f>tblSales[[#This Row],[Revenue]]*1.1</f>
        <v>1320000</v>
      </c>
    </row>
    <row r="381" spans="1:18">
      <c r="A381" t="s">
        <v>1024</v>
      </c>
      <c r="B381" s="7">
        <v>45533</v>
      </c>
      <c r="C381" t="s">
        <v>26</v>
      </c>
      <c r="D381" t="s">
        <v>46</v>
      </c>
      <c r="E381" t="s">
        <v>1025</v>
      </c>
      <c r="F381" t="s">
        <v>22</v>
      </c>
      <c r="G381" t="s">
        <v>1026</v>
      </c>
      <c r="H381">
        <v>45</v>
      </c>
      <c r="I381" s="8">
        <v>225000</v>
      </c>
      <c r="J381" s="8">
        <v>45000</v>
      </c>
      <c r="K381">
        <v>0</v>
      </c>
      <c r="L381" s="8">
        <v>10000</v>
      </c>
      <c r="M381" t="s">
        <v>24</v>
      </c>
      <c r="N381" s="11" t="str">
        <f>TEXT(tblSales[[#This Row],[Date]],"mmmm")</f>
        <v>August</v>
      </c>
      <c r="O381" s="11" t="str">
        <f>"Q"&amp;ROUNDUP(MONTH(tblSales[[#This Row],[Date]])/3,0)</f>
        <v>Q3</v>
      </c>
      <c r="P381" s="11">
        <f>YEAR(tblSales[[#This Row],[Date]])</f>
        <v>2024</v>
      </c>
      <c r="Q381" s="5">
        <f>tblSales[[#This Row],[Profit]]/tblSales[[#This Row],[Revenue]]</f>
        <v>0.2</v>
      </c>
      <c r="R381" s="8">
        <f>tblSales[[#This Row],[Revenue]]*1.1</f>
        <v>247500</v>
      </c>
    </row>
    <row r="382" spans="1:18">
      <c r="A382" t="s">
        <v>1027</v>
      </c>
      <c r="B382" s="7">
        <v>45534</v>
      </c>
      <c r="C382" t="s">
        <v>40</v>
      </c>
      <c r="D382" t="s">
        <v>41</v>
      </c>
      <c r="E382" t="s">
        <v>1028</v>
      </c>
      <c r="F382" t="s">
        <v>29</v>
      </c>
      <c r="G382" t="s">
        <v>1029</v>
      </c>
      <c r="H382">
        <v>80</v>
      </c>
      <c r="I382" s="8">
        <v>160000</v>
      </c>
      <c r="J382" s="8">
        <v>32000</v>
      </c>
      <c r="K382">
        <v>0</v>
      </c>
      <c r="L382" s="8">
        <v>5000</v>
      </c>
      <c r="M382" t="s">
        <v>31</v>
      </c>
      <c r="N382" s="11" t="str">
        <f>TEXT(tblSales[[#This Row],[Date]],"mmmm")</f>
        <v>August</v>
      </c>
      <c r="O382" s="11" t="str">
        <f>"Q"&amp;ROUNDUP(MONTH(tblSales[[#This Row],[Date]])/3,0)</f>
        <v>Q3</v>
      </c>
      <c r="P382" s="11">
        <f>YEAR(tblSales[[#This Row],[Date]])</f>
        <v>2024</v>
      </c>
      <c r="Q382" s="5">
        <f>tblSales[[#This Row],[Profit]]/tblSales[[#This Row],[Revenue]]</f>
        <v>0.2</v>
      </c>
      <c r="R382" s="8">
        <f>tblSales[[#This Row],[Revenue]]*1.1</f>
        <v>176000</v>
      </c>
    </row>
    <row r="383" spans="1:18">
      <c r="A383" t="s">
        <v>1030</v>
      </c>
      <c r="B383" s="7">
        <v>45534</v>
      </c>
      <c r="C383" t="s">
        <v>19</v>
      </c>
      <c r="D383" t="s">
        <v>20</v>
      </c>
      <c r="E383" t="s">
        <v>1031</v>
      </c>
      <c r="F383" t="s">
        <v>43</v>
      </c>
      <c r="G383" t="s">
        <v>1032</v>
      </c>
      <c r="H383">
        <v>200</v>
      </c>
      <c r="I383" s="8">
        <v>200000</v>
      </c>
      <c r="J383" s="8">
        <v>30000</v>
      </c>
      <c r="K383">
        <v>0</v>
      </c>
      <c r="L383" s="8">
        <v>10000</v>
      </c>
      <c r="M383" t="s">
        <v>24</v>
      </c>
      <c r="N383" s="11" t="str">
        <f>TEXT(tblSales[[#This Row],[Date]],"mmmm")</f>
        <v>August</v>
      </c>
      <c r="O383" s="11" t="str">
        <f>"Q"&amp;ROUNDUP(MONTH(tblSales[[#This Row],[Date]])/3,0)</f>
        <v>Q3</v>
      </c>
      <c r="P383" s="11">
        <f>YEAR(tblSales[[#This Row],[Date]])</f>
        <v>2024</v>
      </c>
      <c r="Q383" s="5">
        <f>tblSales[[#This Row],[Profit]]/tblSales[[#This Row],[Revenue]]</f>
        <v>0.15</v>
      </c>
      <c r="R383" s="8">
        <f>tblSales[[#This Row],[Revenue]]*1.1</f>
        <v>220000</v>
      </c>
    </row>
    <row r="384" spans="1:18">
      <c r="A384" t="s">
        <v>1033</v>
      </c>
      <c r="B384" s="7">
        <v>45535</v>
      </c>
      <c r="C384" t="s">
        <v>33</v>
      </c>
      <c r="D384" t="s">
        <v>34</v>
      </c>
      <c r="E384" t="s">
        <v>1034</v>
      </c>
      <c r="F384" t="s">
        <v>36</v>
      </c>
      <c r="G384" t="s">
        <v>1035</v>
      </c>
      <c r="H384">
        <v>100</v>
      </c>
      <c r="I384" s="8">
        <v>800000</v>
      </c>
      <c r="J384" s="8">
        <v>160000</v>
      </c>
      <c r="K384">
        <v>0</v>
      </c>
      <c r="L384" s="8">
        <v>20000</v>
      </c>
      <c r="M384" t="s">
        <v>38</v>
      </c>
      <c r="N384" s="11" t="str">
        <f>TEXT(tblSales[[#This Row],[Date]],"mmmm")</f>
        <v>August</v>
      </c>
      <c r="O384" s="11" t="str">
        <f>"Q"&amp;ROUNDUP(MONTH(tblSales[[#This Row],[Date]])/3,0)</f>
        <v>Q3</v>
      </c>
      <c r="P384" s="11">
        <f>YEAR(tblSales[[#This Row],[Date]])</f>
        <v>2024</v>
      </c>
      <c r="Q384" s="5">
        <f>tblSales[[#This Row],[Profit]]/tblSales[[#This Row],[Revenue]]</f>
        <v>0.2</v>
      </c>
      <c r="R384" s="8">
        <f>tblSales[[#This Row],[Revenue]]*1.1</f>
        <v>880000</v>
      </c>
    </row>
    <row r="385" spans="1:18">
      <c r="A385" t="s">
        <v>1036</v>
      </c>
      <c r="B385" s="7">
        <v>45535</v>
      </c>
      <c r="C385" t="s">
        <v>26</v>
      </c>
      <c r="D385" t="s">
        <v>27</v>
      </c>
      <c r="E385" t="s">
        <v>1037</v>
      </c>
      <c r="F385" t="s">
        <v>22</v>
      </c>
      <c r="G385" t="s">
        <v>1038</v>
      </c>
      <c r="H385">
        <v>300</v>
      </c>
      <c r="I385" s="8">
        <v>150000</v>
      </c>
      <c r="J385" s="8">
        <v>30000</v>
      </c>
      <c r="K385">
        <v>0</v>
      </c>
      <c r="L385" s="8">
        <v>5000</v>
      </c>
      <c r="M385" t="s">
        <v>24</v>
      </c>
      <c r="N385" s="11" t="str">
        <f>TEXT(tblSales[[#This Row],[Date]],"mmmm")</f>
        <v>August</v>
      </c>
      <c r="O385" s="11" t="str">
        <f>"Q"&amp;ROUNDUP(MONTH(tblSales[[#This Row],[Date]])/3,0)</f>
        <v>Q3</v>
      </c>
      <c r="P385" s="11">
        <f>YEAR(tblSales[[#This Row],[Date]])</f>
        <v>2024</v>
      </c>
      <c r="Q385" s="5">
        <f>tblSales[[#This Row],[Profit]]/tblSales[[#This Row],[Revenue]]</f>
        <v>0.2</v>
      </c>
      <c r="R385" s="8">
        <f>tblSales[[#This Row],[Revenue]]*1.1</f>
        <v>165000</v>
      </c>
    </row>
    <row r="386" spans="1:18">
      <c r="A386" t="s">
        <v>1039</v>
      </c>
      <c r="B386" s="7">
        <v>45536</v>
      </c>
      <c r="C386" t="s">
        <v>40</v>
      </c>
      <c r="D386" t="s">
        <v>126</v>
      </c>
      <c r="E386" t="s">
        <v>1040</v>
      </c>
      <c r="F386" t="s">
        <v>29</v>
      </c>
      <c r="G386" t="s">
        <v>1041</v>
      </c>
      <c r="H386">
        <v>500</v>
      </c>
      <c r="I386" s="8">
        <v>100000</v>
      </c>
      <c r="J386" s="8">
        <v>20000</v>
      </c>
      <c r="K386">
        <v>0</v>
      </c>
      <c r="L386" s="8">
        <v>5000</v>
      </c>
      <c r="M386" t="s">
        <v>31</v>
      </c>
      <c r="N386" s="11" t="str">
        <f>TEXT(tblSales[[#This Row],[Date]],"mmmm")</f>
        <v>September</v>
      </c>
      <c r="O386" s="11" t="str">
        <f>"Q"&amp;ROUNDUP(MONTH(tblSales[[#This Row],[Date]])/3,0)</f>
        <v>Q3</v>
      </c>
      <c r="P386" s="11">
        <f>YEAR(tblSales[[#This Row],[Date]])</f>
        <v>2024</v>
      </c>
      <c r="Q386" s="5">
        <f>tblSales[[#This Row],[Profit]]/tblSales[[#This Row],[Revenue]]</f>
        <v>0.2</v>
      </c>
      <c r="R386" s="8">
        <f>tblSales[[#This Row],[Revenue]]*1.1</f>
        <v>110000</v>
      </c>
    </row>
    <row r="387" spans="1:18">
      <c r="A387" t="s">
        <v>1042</v>
      </c>
      <c r="B387" s="7">
        <v>45536</v>
      </c>
      <c r="C387" t="s">
        <v>19</v>
      </c>
      <c r="D387" t="s">
        <v>100</v>
      </c>
      <c r="E387" t="s">
        <v>1043</v>
      </c>
      <c r="F387" t="s">
        <v>36</v>
      </c>
      <c r="G387" t="s">
        <v>1044</v>
      </c>
      <c r="H387">
        <v>60</v>
      </c>
      <c r="I387" s="8">
        <v>300000</v>
      </c>
      <c r="J387" s="8">
        <v>60000</v>
      </c>
      <c r="K387">
        <v>0</v>
      </c>
      <c r="L387" s="8">
        <v>15000</v>
      </c>
      <c r="M387" t="s">
        <v>38</v>
      </c>
      <c r="N387" s="11" t="str">
        <f>TEXT(tblSales[[#This Row],[Date]],"mmmm")</f>
        <v>September</v>
      </c>
      <c r="O387" s="11" t="str">
        <f>"Q"&amp;ROUNDUP(MONTH(tblSales[[#This Row],[Date]])/3,0)</f>
        <v>Q3</v>
      </c>
      <c r="P387" s="11">
        <f>YEAR(tblSales[[#This Row],[Date]])</f>
        <v>2024</v>
      </c>
      <c r="Q387" s="5">
        <f>tblSales[[#This Row],[Profit]]/tblSales[[#This Row],[Revenue]]</f>
        <v>0.2</v>
      </c>
      <c r="R387" s="8">
        <f>tblSales[[#This Row],[Revenue]]*1.1</f>
        <v>330000</v>
      </c>
    </row>
    <row r="388" spans="1:18">
      <c r="A388" t="s">
        <v>1045</v>
      </c>
      <c r="B388" s="7">
        <v>45537</v>
      </c>
      <c r="C388" t="s">
        <v>33</v>
      </c>
      <c r="D388" t="s">
        <v>54</v>
      </c>
      <c r="E388" t="s">
        <v>1046</v>
      </c>
      <c r="F388" t="s">
        <v>22</v>
      </c>
      <c r="G388" t="s">
        <v>1047</v>
      </c>
      <c r="H388">
        <v>1000</v>
      </c>
      <c r="I388" s="8">
        <v>100000</v>
      </c>
      <c r="J388" s="8">
        <v>20000</v>
      </c>
      <c r="K388">
        <v>0</v>
      </c>
      <c r="L388" s="8">
        <v>5000</v>
      </c>
      <c r="M388" t="s">
        <v>24</v>
      </c>
      <c r="N388" s="11" t="str">
        <f>TEXT(tblSales[[#This Row],[Date]],"mmmm")</f>
        <v>September</v>
      </c>
      <c r="O388" s="11" t="str">
        <f>"Q"&amp;ROUNDUP(MONTH(tblSales[[#This Row],[Date]])/3,0)</f>
        <v>Q3</v>
      </c>
      <c r="P388" s="11">
        <f>YEAR(tblSales[[#This Row],[Date]])</f>
        <v>2024</v>
      </c>
      <c r="Q388" s="5">
        <f>tblSales[[#This Row],[Profit]]/tblSales[[#This Row],[Revenue]]</f>
        <v>0.2</v>
      </c>
      <c r="R388" s="8">
        <f>tblSales[[#This Row],[Revenue]]*1.1</f>
        <v>110000</v>
      </c>
    </row>
    <row r="389" spans="1:18">
      <c r="A389" t="s">
        <v>1048</v>
      </c>
      <c r="B389" s="7">
        <v>45537</v>
      </c>
      <c r="C389" t="s">
        <v>26</v>
      </c>
      <c r="D389" t="s">
        <v>71</v>
      </c>
      <c r="E389" t="s">
        <v>1049</v>
      </c>
      <c r="F389" t="s">
        <v>43</v>
      </c>
      <c r="G389" t="s">
        <v>1050</v>
      </c>
      <c r="H389">
        <v>50</v>
      </c>
      <c r="I389" s="8">
        <v>150000</v>
      </c>
      <c r="J389" s="8">
        <v>22500</v>
      </c>
      <c r="K389">
        <v>0</v>
      </c>
      <c r="L389" s="8">
        <v>8000</v>
      </c>
      <c r="M389" t="s">
        <v>24</v>
      </c>
      <c r="N389" s="11" t="str">
        <f>TEXT(tblSales[[#This Row],[Date]],"mmmm")</f>
        <v>September</v>
      </c>
      <c r="O389" s="11" t="str">
        <f>"Q"&amp;ROUNDUP(MONTH(tblSales[[#This Row],[Date]])/3,0)</f>
        <v>Q3</v>
      </c>
      <c r="P389" s="11">
        <f>YEAR(tblSales[[#This Row],[Date]])</f>
        <v>2024</v>
      </c>
      <c r="Q389" s="5">
        <f>tblSales[[#This Row],[Profit]]/tblSales[[#This Row],[Revenue]]</f>
        <v>0.15</v>
      </c>
      <c r="R389" s="8">
        <f>tblSales[[#This Row],[Revenue]]*1.1</f>
        <v>165000</v>
      </c>
    </row>
    <row r="390" spans="1:18">
      <c r="A390" t="s">
        <v>1051</v>
      </c>
      <c r="B390" s="7">
        <v>45538</v>
      </c>
      <c r="C390" t="s">
        <v>40</v>
      </c>
      <c r="D390" t="s">
        <v>41</v>
      </c>
      <c r="E390" t="s">
        <v>1052</v>
      </c>
      <c r="F390" t="s">
        <v>29</v>
      </c>
      <c r="G390" t="s">
        <v>1053</v>
      </c>
      <c r="H390">
        <v>60</v>
      </c>
      <c r="I390" s="8">
        <v>420000</v>
      </c>
      <c r="J390" s="8">
        <v>84000</v>
      </c>
      <c r="K390">
        <v>0</v>
      </c>
      <c r="L390" s="8">
        <v>10000</v>
      </c>
      <c r="M390" t="s">
        <v>31</v>
      </c>
      <c r="N390" s="11" t="str">
        <f>TEXT(tblSales[[#This Row],[Date]],"mmmm")</f>
        <v>September</v>
      </c>
      <c r="O390" s="11" t="str">
        <f>"Q"&amp;ROUNDUP(MONTH(tblSales[[#This Row],[Date]])/3,0)</f>
        <v>Q3</v>
      </c>
      <c r="P390" s="11">
        <f>YEAR(tblSales[[#This Row],[Date]])</f>
        <v>2024</v>
      </c>
      <c r="Q390" s="5">
        <f>tblSales[[#This Row],[Profit]]/tblSales[[#This Row],[Revenue]]</f>
        <v>0.2</v>
      </c>
      <c r="R390" s="8">
        <f>tblSales[[#This Row],[Revenue]]*1.1</f>
        <v>462000</v>
      </c>
    </row>
    <row r="391" spans="1:18">
      <c r="A391" t="s">
        <v>1054</v>
      </c>
      <c r="B391" s="7">
        <v>45538</v>
      </c>
      <c r="C391" t="s">
        <v>19</v>
      </c>
      <c r="D391" t="s">
        <v>50</v>
      </c>
      <c r="E391" t="s">
        <v>285</v>
      </c>
      <c r="F391" t="s">
        <v>43</v>
      </c>
      <c r="G391" t="s">
        <v>1055</v>
      </c>
      <c r="H391">
        <v>20</v>
      </c>
      <c r="I391" s="8">
        <v>200000</v>
      </c>
      <c r="J391" s="8">
        <v>30000</v>
      </c>
      <c r="K391">
        <v>0</v>
      </c>
      <c r="L391" s="8">
        <v>6000</v>
      </c>
      <c r="M391" t="s">
        <v>24</v>
      </c>
      <c r="N391" s="11" t="str">
        <f>TEXT(tblSales[[#This Row],[Date]],"mmmm")</f>
        <v>September</v>
      </c>
      <c r="O391" s="11" t="str">
        <f>"Q"&amp;ROUNDUP(MONTH(tblSales[[#This Row],[Date]])/3,0)</f>
        <v>Q3</v>
      </c>
      <c r="P391" s="11">
        <f>YEAR(tblSales[[#This Row],[Date]])</f>
        <v>2024</v>
      </c>
      <c r="Q391" s="5">
        <f>tblSales[[#This Row],[Profit]]/tblSales[[#This Row],[Revenue]]</f>
        <v>0.15</v>
      </c>
      <c r="R391" s="8">
        <f>tblSales[[#This Row],[Revenue]]*1.1</f>
        <v>220000</v>
      </c>
    </row>
    <row r="392" spans="1:18">
      <c r="A392" t="s">
        <v>1056</v>
      </c>
      <c r="B392" s="7">
        <v>45539</v>
      </c>
      <c r="C392" t="s">
        <v>33</v>
      </c>
      <c r="D392" t="s">
        <v>34</v>
      </c>
      <c r="E392" t="s">
        <v>1057</v>
      </c>
      <c r="F392" t="s">
        <v>36</v>
      </c>
      <c r="G392" t="s">
        <v>1058</v>
      </c>
      <c r="H392">
        <v>500</v>
      </c>
      <c r="I392" s="8">
        <v>250000</v>
      </c>
      <c r="J392" s="8">
        <v>50000</v>
      </c>
      <c r="K392">
        <v>0</v>
      </c>
      <c r="L392" s="8">
        <v>20000</v>
      </c>
      <c r="M392" t="s">
        <v>38</v>
      </c>
      <c r="N392" s="11" t="str">
        <f>TEXT(tblSales[[#This Row],[Date]],"mmmm")</f>
        <v>September</v>
      </c>
      <c r="O392" s="11" t="str">
        <f>"Q"&amp;ROUNDUP(MONTH(tblSales[[#This Row],[Date]])/3,0)</f>
        <v>Q3</v>
      </c>
      <c r="P392" s="11">
        <f>YEAR(tblSales[[#This Row],[Date]])</f>
        <v>2024</v>
      </c>
      <c r="Q392" s="5">
        <f>tblSales[[#This Row],[Profit]]/tblSales[[#This Row],[Revenue]]</f>
        <v>0.2</v>
      </c>
      <c r="R392" s="8">
        <f>tblSales[[#This Row],[Revenue]]*1.1</f>
        <v>275000</v>
      </c>
    </row>
    <row r="393" spans="1:18">
      <c r="A393" t="s">
        <v>1059</v>
      </c>
      <c r="B393" s="7">
        <v>45539</v>
      </c>
      <c r="C393" t="s">
        <v>26</v>
      </c>
      <c r="D393" t="s">
        <v>27</v>
      </c>
      <c r="E393" t="s">
        <v>1060</v>
      </c>
      <c r="F393" t="s">
        <v>22</v>
      </c>
      <c r="G393" t="s">
        <v>1061</v>
      </c>
      <c r="H393">
        <v>400</v>
      </c>
      <c r="I393" s="8">
        <v>200000</v>
      </c>
      <c r="J393" s="8">
        <v>40000</v>
      </c>
      <c r="K393">
        <v>0</v>
      </c>
      <c r="L393" s="8">
        <v>8000</v>
      </c>
      <c r="M393" t="s">
        <v>24</v>
      </c>
      <c r="N393" s="11" t="str">
        <f>TEXT(tblSales[[#This Row],[Date]],"mmmm")</f>
        <v>September</v>
      </c>
      <c r="O393" s="11" t="str">
        <f>"Q"&amp;ROUNDUP(MONTH(tblSales[[#This Row],[Date]])/3,0)</f>
        <v>Q3</v>
      </c>
      <c r="P393" s="11">
        <f>YEAR(tblSales[[#This Row],[Date]])</f>
        <v>2024</v>
      </c>
      <c r="Q393" s="5">
        <f>tblSales[[#This Row],[Profit]]/tblSales[[#This Row],[Revenue]]</f>
        <v>0.2</v>
      </c>
      <c r="R393" s="8">
        <f>tblSales[[#This Row],[Revenue]]*1.1</f>
        <v>220000</v>
      </c>
    </row>
    <row r="394" spans="1:18">
      <c r="A394" t="s">
        <v>1062</v>
      </c>
      <c r="B394" s="7">
        <v>45540</v>
      </c>
      <c r="C394" t="s">
        <v>40</v>
      </c>
      <c r="D394" t="s">
        <v>93</v>
      </c>
      <c r="E394" t="s">
        <v>1063</v>
      </c>
      <c r="F394" t="s">
        <v>29</v>
      </c>
      <c r="G394" t="s">
        <v>1064</v>
      </c>
      <c r="H394">
        <v>30</v>
      </c>
      <c r="I394" s="8">
        <v>90000</v>
      </c>
      <c r="J394" s="8">
        <v>18000</v>
      </c>
      <c r="K394">
        <v>0</v>
      </c>
      <c r="L394" s="8">
        <v>3000</v>
      </c>
      <c r="M394" t="s">
        <v>31</v>
      </c>
      <c r="N394" s="11" t="str">
        <f>TEXT(tblSales[[#This Row],[Date]],"mmmm")</f>
        <v>September</v>
      </c>
      <c r="O394" s="11" t="str">
        <f>"Q"&amp;ROUNDUP(MONTH(tblSales[[#This Row],[Date]])/3,0)</f>
        <v>Q3</v>
      </c>
      <c r="P394" s="11">
        <f>YEAR(tblSales[[#This Row],[Date]])</f>
        <v>2024</v>
      </c>
      <c r="Q394" s="5">
        <f>tblSales[[#This Row],[Profit]]/tblSales[[#This Row],[Revenue]]</f>
        <v>0.2</v>
      </c>
      <c r="R394" s="8">
        <f>tblSales[[#This Row],[Revenue]]*1.1</f>
        <v>99000</v>
      </c>
    </row>
    <row r="395" spans="1:18">
      <c r="A395" t="s">
        <v>1065</v>
      </c>
      <c r="B395" s="7">
        <v>45540</v>
      </c>
      <c r="C395" t="s">
        <v>19</v>
      </c>
      <c r="D395" t="s">
        <v>20</v>
      </c>
      <c r="E395" t="s">
        <v>1066</v>
      </c>
      <c r="F395" t="s">
        <v>43</v>
      </c>
      <c r="G395" t="s">
        <v>1067</v>
      </c>
      <c r="H395">
        <v>100</v>
      </c>
      <c r="I395" s="8">
        <v>250000</v>
      </c>
      <c r="J395" s="8">
        <v>37500</v>
      </c>
      <c r="K395">
        <v>0</v>
      </c>
      <c r="L395" s="8">
        <v>10000</v>
      </c>
      <c r="M395" t="s">
        <v>24</v>
      </c>
      <c r="N395" s="11" t="str">
        <f>TEXT(tblSales[[#This Row],[Date]],"mmmm")</f>
        <v>September</v>
      </c>
      <c r="O395" s="11" t="str">
        <f>"Q"&amp;ROUNDUP(MONTH(tblSales[[#This Row],[Date]])/3,0)</f>
        <v>Q3</v>
      </c>
      <c r="P395" s="11">
        <f>YEAR(tblSales[[#This Row],[Date]])</f>
        <v>2024</v>
      </c>
      <c r="Q395" s="5">
        <f>tblSales[[#This Row],[Profit]]/tblSales[[#This Row],[Revenue]]</f>
        <v>0.15</v>
      </c>
      <c r="R395" s="8">
        <f>tblSales[[#This Row],[Revenue]]*1.1</f>
        <v>275000</v>
      </c>
    </row>
    <row r="396" spans="1:18">
      <c r="A396" t="s">
        <v>1068</v>
      </c>
      <c r="B396" s="7">
        <v>45541</v>
      </c>
      <c r="C396" t="s">
        <v>33</v>
      </c>
      <c r="D396" t="s">
        <v>54</v>
      </c>
      <c r="E396" t="s">
        <v>1069</v>
      </c>
      <c r="F396" t="s">
        <v>36</v>
      </c>
      <c r="G396" t="s">
        <v>1070</v>
      </c>
      <c r="H396">
        <v>80</v>
      </c>
      <c r="I396" s="8">
        <v>400000</v>
      </c>
      <c r="J396" s="8">
        <v>80000</v>
      </c>
      <c r="K396">
        <v>0</v>
      </c>
      <c r="L396" s="8">
        <v>10000</v>
      </c>
      <c r="M396" t="s">
        <v>38</v>
      </c>
      <c r="N396" s="11" t="str">
        <f>TEXT(tblSales[[#This Row],[Date]],"mmmm")</f>
        <v>September</v>
      </c>
      <c r="O396" s="11" t="str">
        <f>"Q"&amp;ROUNDUP(MONTH(tblSales[[#This Row],[Date]])/3,0)</f>
        <v>Q3</v>
      </c>
      <c r="P396" s="11">
        <f>YEAR(tblSales[[#This Row],[Date]])</f>
        <v>2024</v>
      </c>
      <c r="Q396" s="5">
        <f>tblSales[[#This Row],[Profit]]/tblSales[[#This Row],[Revenue]]</f>
        <v>0.2</v>
      </c>
      <c r="R396" s="8">
        <f>tblSales[[#This Row],[Revenue]]*1.1</f>
        <v>440000</v>
      </c>
    </row>
    <row r="397" spans="1:18">
      <c r="A397" t="s">
        <v>1071</v>
      </c>
      <c r="B397" s="7">
        <v>45541</v>
      </c>
      <c r="C397" t="s">
        <v>26</v>
      </c>
      <c r="D397" t="s">
        <v>46</v>
      </c>
      <c r="E397" t="s">
        <v>1072</v>
      </c>
      <c r="F397" t="s">
        <v>22</v>
      </c>
      <c r="G397" t="s">
        <v>1073</v>
      </c>
      <c r="H397">
        <v>600</v>
      </c>
      <c r="I397" s="8">
        <v>120000</v>
      </c>
      <c r="J397" s="8">
        <v>24000</v>
      </c>
      <c r="K397">
        <v>0</v>
      </c>
      <c r="L397" s="8">
        <v>5000</v>
      </c>
      <c r="M397" t="s">
        <v>24</v>
      </c>
      <c r="N397" s="11" t="str">
        <f>TEXT(tblSales[[#This Row],[Date]],"mmmm")</f>
        <v>September</v>
      </c>
      <c r="O397" s="11" t="str">
        <f>"Q"&amp;ROUNDUP(MONTH(tblSales[[#This Row],[Date]])/3,0)</f>
        <v>Q3</v>
      </c>
      <c r="P397" s="11">
        <f>YEAR(tblSales[[#This Row],[Date]])</f>
        <v>2024</v>
      </c>
      <c r="Q397" s="5">
        <f>tblSales[[#This Row],[Profit]]/tblSales[[#This Row],[Revenue]]</f>
        <v>0.2</v>
      </c>
      <c r="R397" s="8">
        <f>tblSales[[#This Row],[Revenue]]*1.1</f>
        <v>132000</v>
      </c>
    </row>
    <row r="398" spans="1:18">
      <c r="A398" t="s">
        <v>1074</v>
      </c>
      <c r="B398" s="7">
        <v>45542</v>
      </c>
      <c r="C398" t="s">
        <v>40</v>
      </c>
      <c r="D398" t="s">
        <v>41</v>
      </c>
      <c r="E398" t="s">
        <v>1075</v>
      </c>
      <c r="F398" t="s">
        <v>29</v>
      </c>
      <c r="G398" t="s">
        <v>1076</v>
      </c>
      <c r="H398">
        <v>150</v>
      </c>
      <c r="I398" s="8">
        <v>150000</v>
      </c>
      <c r="J398" s="8">
        <v>30000</v>
      </c>
      <c r="K398">
        <v>0</v>
      </c>
      <c r="L398" s="8">
        <v>5000</v>
      </c>
      <c r="M398" t="s">
        <v>31</v>
      </c>
      <c r="N398" s="11" t="str">
        <f>TEXT(tblSales[[#This Row],[Date]],"mmmm")</f>
        <v>September</v>
      </c>
      <c r="O398" s="11" t="str">
        <f>"Q"&amp;ROUNDUP(MONTH(tblSales[[#This Row],[Date]])/3,0)</f>
        <v>Q3</v>
      </c>
      <c r="P398" s="11">
        <f>YEAR(tblSales[[#This Row],[Date]])</f>
        <v>2024</v>
      </c>
      <c r="Q398" s="5">
        <f>tblSales[[#This Row],[Profit]]/tblSales[[#This Row],[Revenue]]</f>
        <v>0.2</v>
      </c>
      <c r="R398" s="8">
        <f>tblSales[[#This Row],[Revenue]]*1.1</f>
        <v>165000</v>
      </c>
    </row>
    <row r="399" spans="1:18">
      <c r="A399" t="s">
        <v>1077</v>
      </c>
      <c r="B399" s="7">
        <v>45542</v>
      </c>
      <c r="C399" t="s">
        <v>19</v>
      </c>
      <c r="D399" t="s">
        <v>113</v>
      </c>
      <c r="E399" t="s">
        <v>1078</v>
      </c>
      <c r="F399" t="s">
        <v>43</v>
      </c>
      <c r="G399" t="s">
        <v>1079</v>
      </c>
      <c r="H399">
        <v>40</v>
      </c>
      <c r="I399" s="8">
        <v>80000</v>
      </c>
      <c r="J399" s="8">
        <v>12000</v>
      </c>
      <c r="K399">
        <v>0</v>
      </c>
      <c r="L399" s="8">
        <v>3000</v>
      </c>
      <c r="M399" t="s">
        <v>24</v>
      </c>
      <c r="N399" s="11" t="str">
        <f>TEXT(tblSales[[#This Row],[Date]],"mmmm")</f>
        <v>September</v>
      </c>
      <c r="O399" s="11" t="str">
        <f>"Q"&amp;ROUNDUP(MONTH(tblSales[[#This Row],[Date]])/3,0)</f>
        <v>Q3</v>
      </c>
      <c r="P399" s="11">
        <f>YEAR(tblSales[[#This Row],[Date]])</f>
        <v>2024</v>
      </c>
      <c r="Q399" s="5">
        <f>tblSales[[#This Row],[Profit]]/tblSales[[#This Row],[Revenue]]</f>
        <v>0.15</v>
      </c>
      <c r="R399" s="8">
        <f>tblSales[[#This Row],[Revenue]]*1.1</f>
        <v>88000</v>
      </c>
    </row>
    <row r="400" spans="1:18">
      <c r="A400" t="s">
        <v>1080</v>
      </c>
      <c r="B400" s="7">
        <v>45543</v>
      </c>
      <c r="C400" t="s">
        <v>33</v>
      </c>
      <c r="D400" t="s">
        <v>34</v>
      </c>
      <c r="E400" t="s">
        <v>1081</v>
      </c>
      <c r="F400" t="s">
        <v>36</v>
      </c>
      <c r="G400" t="s">
        <v>1082</v>
      </c>
      <c r="H400">
        <v>50</v>
      </c>
      <c r="I400" s="8">
        <v>250000</v>
      </c>
      <c r="J400" s="8">
        <v>50000</v>
      </c>
      <c r="K400">
        <v>0</v>
      </c>
      <c r="L400" s="8">
        <v>8000</v>
      </c>
      <c r="M400" t="s">
        <v>38</v>
      </c>
      <c r="N400" s="11" t="str">
        <f>TEXT(tblSales[[#This Row],[Date]],"mmmm")</f>
        <v>September</v>
      </c>
      <c r="O400" s="11" t="str">
        <f>"Q"&amp;ROUNDUP(MONTH(tblSales[[#This Row],[Date]])/3,0)</f>
        <v>Q3</v>
      </c>
      <c r="P400" s="11">
        <f>YEAR(tblSales[[#This Row],[Date]])</f>
        <v>2024</v>
      </c>
      <c r="Q400" s="5">
        <f>tblSales[[#This Row],[Profit]]/tblSales[[#This Row],[Revenue]]</f>
        <v>0.2</v>
      </c>
      <c r="R400" s="8">
        <f>tblSales[[#This Row],[Revenue]]*1.1</f>
        <v>275000</v>
      </c>
    </row>
    <row r="401" spans="1:18">
      <c r="A401" t="s">
        <v>1083</v>
      </c>
      <c r="B401" s="7">
        <v>45543</v>
      </c>
      <c r="C401" t="s">
        <v>26</v>
      </c>
      <c r="D401" t="s">
        <v>27</v>
      </c>
      <c r="E401" t="s">
        <v>1084</v>
      </c>
      <c r="F401" t="s">
        <v>22</v>
      </c>
      <c r="G401" t="s">
        <v>1085</v>
      </c>
      <c r="H401">
        <v>200</v>
      </c>
      <c r="I401" s="8">
        <v>60000</v>
      </c>
      <c r="J401" s="8">
        <v>12000</v>
      </c>
      <c r="K401">
        <v>0</v>
      </c>
      <c r="L401" s="8">
        <v>2000</v>
      </c>
      <c r="M401" t="s">
        <v>24</v>
      </c>
      <c r="N401" s="11" t="str">
        <f>TEXT(tblSales[[#This Row],[Date]],"mmmm")</f>
        <v>September</v>
      </c>
      <c r="O401" s="11" t="str">
        <f>"Q"&amp;ROUNDUP(MONTH(tblSales[[#This Row],[Date]])/3,0)</f>
        <v>Q3</v>
      </c>
      <c r="P401" s="11">
        <f>YEAR(tblSales[[#This Row],[Date]])</f>
        <v>2024</v>
      </c>
      <c r="Q401" s="5">
        <f>tblSales[[#This Row],[Profit]]/tblSales[[#This Row],[Revenue]]</f>
        <v>0.2</v>
      </c>
      <c r="R401" s="8">
        <f>tblSales[[#This Row],[Revenue]]*1.1</f>
        <v>66000</v>
      </c>
    </row>
    <row r="402" spans="1:18">
      <c r="A402" t="s">
        <v>1086</v>
      </c>
      <c r="B402" s="7">
        <v>45544</v>
      </c>
      <c r="C402" t="s">
        <v>40</v>
      </c>
      <c r="D402" t="s">
        <v>126</v>
      </c>
      <c r="E402" t="s">
        <v>1087</v>
      </c>
      <c r="F402" t="s">
        <v>29</v>
      </c>
      <c r="G402" t="s">
        <v>1088</v>
      </c>
      <c r="H402">
        <v>45</v>
      </c>
      <c r="I402" s="8">
        <v>112500</v>
      </c>
      <c r="J402" s="8">
        <v>22500</v>
      </c>
      <c r="K402">
        <v>0</v>
      </c>
      <c r="L402" s="8">
        <v>5000</v>
      </c>
      <c r="M402" t="s">
        <v>31</v>
      </c>
      <c r="N402" s="11" t="str">
        <f>TEXT(tblSales[[#This Row],[Date]],"mmmm")</f>
        <v>September</v>
      </c>
      <c r="O402" s="11" t="str">
        <f>"Q"&amp;ROUNDUP(MONTH(tblSales[[#This Row],[Date]])/3,0)</f>
        <v>Q3</v>
      </c>
      <c r="P402" s="11">
        <f>YEAR(tblSales[[#This Row],[Date]])</f>
        <v>2024</v>
      </c>
      <c r="Q402" s="5">
        <f>tblSales[[#This Row],[Profit]]/tblSales[[#This Row],[Revenue]]</f>
        <v>0.2</v>
      </c>
      <c r="R402" s="8">
        <f>tblSales[[#This Row],[Revenue]]*1.1</f>
        <v>123750</v>
      </c>
    </row>
    <row r="403" spans="1:18">
      <c r="A403" t="s">
        <v>1089</v>
      </c>
      <c r="B403" s="7">
        <v>45544</v>
      </c>
      <c r="C403" t="s">
        <v>19</v>
      </c>
      <c r="D403" t="s">
        <v>20</v>
      </c>
      <c r="E403" t="s">
        <v>1090</v>
      </c>
      <c r="F403" t="s">
        <v>43</v>
      </c>
      <c r="G403" t="s">
        <v>1091</v>
      </c>
      <c r="H403">
        <v>30</v>
      </c>
      <c r="I403" s="8">
        <v>90000</v>
      </c>
      <c r="J403" s="8">
        <v>13500</v>
      </c>
      <c r="K403">
        <v>0</v>
      </c>
      <c r="L403" s="8">
        <v>3000</v>
      </c>
      <c r="M403" t="s">
        <v>24</v>
      </c>
      <c r="N403" s="11" t="str">
        <f>TEXT(tblSales[[#This Row],[Date]],"mmmm")</f>
        <v>September</v>
      </c>
      <c r="O403" s="11" t="str">
        <f>"Q"&amp;ROUNDUP(MONTH(tblSales[[#This Row],[Date]])/3,0)</f>
        <v>Q3</v>
      </c>
      <c r="P403" s="11">
        <f>YEAR(tblSales[[#This Row],[Date]])</f>
        <v>2024</v>
      </c>
      <c r="Q403" s="5">
        <f>tblSales[[#This Row],[Profit]]/tblSales[[#This Row],[Revenue]]</f>
        <v>0.15</v>
      </c>
      <c r="R403" s="8">
        <f>tblSales[[#This Row],[Revenue]]*1.1</f>
        <v>99000</v>
      </c>
    </row>
    <row r="404" spans="1:18">
      <c r="A404" t="s">
        <v>1092</v>
      </c>
      <c r="B404" s="7">
        <v>45545</v>
      </c>
      <c r="C404" t="s">
        <v>33</v>
      </c>
      <c r="D404" t="s">
        <v>54</v>
      </c>
      <c r="E404" t="s">
        <v>1093</v>
      </c>
      <c r="F404" t="s">
        <v>36</v>
      </c>
      <c r="G404" t="s">
        <v>1094</v>
      </c>
      <c r="H404">
        <v>60</v>
      </c>
      <c r="I404" s="8">
        <v>300000</v>
      </c>
      <c r="J404" s="8">
        <v>60000</v>
      </c>
      <c r="K404">
        <v>0</v>
      </c>
      <c r="L404" s="8">
        <v>10000</v>
      </c>
      <c r="M404" t="s">
        <v>38</v>
      </c>
      <c r="N404" s="11" t="str">
        <f>TEXT(tblSales[[#This Row],[Date]],"mmmm")</f>
        <v>September</v>
      </c>
      <c r="O404" s="11" t="str">
        <f>"Q"&amp;ROUNDUP(MONTH(tblSales[[#This Row],[Date]])/3,0)</f>
        <v>Q3</v>
      </c>
      <c r="P404" s="11">
        <f>YEAR(tblSales[[#This Row],[Date]])</f>
        <v>2024</v>
      </c>
      <c r="Q404" s="5">
        <f>tblSales[[#This Row],[Profit]]/tblSales[[#This Row],[Revenue]]</f>
        <v>0.2</v>
      </c>
      <c r="R404" s="8">
        <f>tblSales[[#This Row],[Revenue]]*1.1</f>
        <v>330000</v>
      </c>
    </row>
    <row r="405" spans="1:18">
      <c r="A405" t="s">
        <v>1095</v>
      </c>
      <c r="B405" s="7">
        <v>45545</v>
      </c>
      <c r="C405" t="s">
        <v>26</v>
      </c>
      <c r="D405" t="s">
        <v>71</v>
      </c>
      <c r="E405" t="s">
        <v>1096</v>
      </c>
      <c r="F405" t="s">
        <v>22</v>
      </c>
      <c r="G405" t="s">
        <v>1097</v>
      </c>
      <c r="H405">
        <v>25</v>
      </c>
      <c r="I405" s="8">
        <v>125000</v>
      </c>
      <c r="J405" s="8">
        <v>25000</v>
      </c>
      <c r="K405">
        <v>0</v>
      </c>
      <c r="L405" s="8">
        <v>5000</v>
      </c>
      <c r="M405" t="s">
        <v>24</v>
      </c>
      <c r="N405" s="11" t="str">
        <f>TEXT(tblSales[[#This Row],[Date]],"mmmm")</f>
        <v>September</v>
      </c>
      <c r="O405" s="11" t="str">
        <f>"Q"&amp;ROUNDUP(MONTH(tblSales[[#This Row],[Date]])/3,0)</f>
        <v>Q3</v>
      </c>
      <c r="P405" s="11">
        <f>YEAR(tblSales[[#This Row],[Date]])</f>
        <v>2024</v>
      </c>
      <c r="Q405" s="5">
        <f>tblSales[[#This Row],[Profit]]/tblSales[[#This Row],[Revenue]]</f>
        <v>0.2</v>
      </c>
      <c r="R405" s="8">
        <f>tblSales[[#This Row],[Revenue]]*1.1</f>
        <v>137500</v>
      </c>
    </row>
    <row r="406" spans="1:18">
      <c r="A406" t="s">
        <v>1098</v>
      </c>
      <c r="B406" s="7">
        <v>45546</v>
      </c>
      <c r="C406" t="s">
        <v>40</v>
      </c>
      <c r="D406" t="s">
        <v>41</v>
      </c>
      <c r="E406" t="s">
        <v>1099</v>
      </c>
      <c r="F406" t="s">
        <v>29</v>
      </c>
      <c r="G406" t="s">
        <v>1100</v>
      </c>
      <c r="H406">
        <v>200</v>
      </c>
      <c r="I406" s="8">
        <v>200000</v>
      </c>
      <c r="J406" s="8">
        <v>40000</v>
      </c>
      <c r="K406">
        <v>0</v>
      </c>
      <c r="L406" s="8">
        <v>8000</v>
      </c>
      <c r="M406" t="s">
        <v>31</v>
      </c>
      <c r="N406" s="11" t="str">
        <f>TEXT(tblSales[[#This Row],[Date]],"mmmm")</f>
        <v>September</v>
      </c>
      <c r="O406" s="11" t="str">
        <f>"Q"&amp;ROUNDUP(MONTH(tblSales[[#This Row],[Date]])/3,0)</f>
        <v>Q3</v>
      </c>
      <c r="P406" s="11">
        <f>YEAR(tblSales[[#This Row],[Date]])</f>
        <v>2024</v>
      </c>
      <c r="Q406" s="5">
        <f>tblSales[[#This Row],[Profit]]/tblSales[[#This Row],[Revenue]]</f>
        <v>0.2</v>
      </c>
      <c r="R406" s="8">
        <f>tblSales[[#This Row],[Revenue]]*1.1</f>
        <v>220000</v>
      </c>
    </row>
    <row r="407" spans="1:18">
      <c r="A407" t="s">
        <v>1101</v>
      </c>
      <c r="B407" s="7">
        <v>45546</v>
      </c>
      <c r="C407" t="s">
        <v>19</v>
      </c>
      <c r="D407" t="s">
        <v>50</v>
      </c>
      <c r="E407" t="s">
        <v>1102</v>
      </c>
      <c r="F407" t="s">
        <v>43</v>
      </c>
      <c r="G407" t="s">
        <v>1103</v>
      </c>
      <c r="H407">
        <v>50</v>
      </c>
      <c r="I407" s="8">
        <v>100000</v>
      </c>
      <c r="J407" s="8">
        <v>15000</v>
      </c>
      <c r="K407">
        <v>0</v>
      </c>
      <c r="L407" s="8">
        <v>4000</v>
      </c>
      <c r="M407" t="s">
        <v>24</v>
      </c>
      <c r="N407" s="11" t="str">
        <f>TEXT(tblSales[[#This Row],[Date]],"mmmm")</f>
        <v>September</v>
      </c>
      <c r="O407" s="11" t="str">
        <f>"Q"&amp;ROUNDUP(MONTH(tblSales[[#This Row],[Date]])/3,0)</f>
        <v>Q3</v>
      </c>
      <c r="P407" s="11">
        <f>YEAR(tblSales[[#This Row],[Date]])</f>
        <v>2024</v>
      </c>
      <c r="Q407" s="5">
        <f>tblSales[[#This Row],[Profit]]/tblSales[[#This Row],[Revenue]]</f>
        <v>0.15</v>
      </c>
      <c r="R407" s="8">
        <f>tblSales[[#This Row],[Revenue]]*1.1</f>
        <v>110000</v>
      </c>
    </row>
    <row r="408" spans="1:18">
      <c r="A408" t="s">
        <v>1104</v>
      </c>
      <c r="B408" s="7">
        <v>45547</v>
      </c>
      <c r="C408" t="s">
        <v>33</v>
      </c>
      <c r="D408" t="s">
        <v>34</v>
      </c>
      <c r="E408" t="s">
        <v>1105</v>
      </c>
      <c r="F408" t="s">
        <v>36</v>
      </c>
      <c r="G408" t="s">
        <v>1106</v>
      </c>
      <c r="H408">
        <v>20</v>
      </c>
      <c r="I408" s="8">
        <v>120000</v>
      </c>
      <c r="J408" s="8">
        <v>24000</v>
      </c>
      <c r="K408">
        <v>0</v>
      </c>
      <c r="L408" s="8">
        <v>3000</v>
      </c>
      <c r="M408" t="s">
        <v>38</v>
      </c>
      <c r="N408" s="11" t="str">
        <f>TEXT(tblSales[[#This Row],[Date]],"mmmm")</f>
        <v>September</v>
      </c>
      <c r="O408" s="11" t="str">
        <f>"Q"&amp;ROUNDUP(MONTH(tblSales[[#This Row],[Date]])/3,0)</f>
        <v>Q3</v>
      </c>
      <c r="P408" s="11">
        <f>YEAR(tblSales[[#This Row],[Date]])</f>
        <v>2024</v>
      </c>
      <c r="Q408" s="5">
        <f>tblSales[[#This Row],[Profit]]/tblSales[[#This Row],[Revenue]]</f>
        <v>0.2</v>
      </c>
      <c r="R408" s="8">
        <f>tblSales[[#This Row],[Revenue]]*1.1</f>
        <v>132000</v>
      </c>
    </row>
    <row r="409" spans="1:18">
      <c r="A409" t="s">
        <v>1107</v>
      </c>
      <c r="B409" s="7">
        <v>45547</v>
      </c>
      <c r="C409" t="s">
        <v>26</v>
      </c>
      <c r="D409" t="s">
        <v>27</v>
      </c>
      <c r="E409" t="s">
        <v>1108</v>
      </c>
      <c r="F409" t="s">
        <v>22</v>
      </c>
      <c r="G409" t="s">
        <v>358</v>
      </c>
      <c r="H409">
        <v>1000</v>
      </c>
      <c r="I409" s="8">
        <v>500000</v>
      </c>
      <c r="J409" s="8">
        <v>100000</v>
      </c>
      <c r="K409">
        <v>0</v>
      </c>
      <c r="L409" s="8">
        <v>20000</v>
      </c>
      <c r="M409" t="s">
        <v>24</v>
      </c>
      <c r="N409" s="11" t="str">
        <f>TEXT(tblSales[[#This Row],[Date]],"mmmm")</f>
        <v>September</v>
      </c>
      <c r="O409" s="11" t="str">
        <f>"Q"&amp;ROUNDUP(MONTH(tblSales[[#This Row],[Date]])/3,0)</f>
        <v>Q3</v>
      </c>
      <c r="P409" s="11">
        <f>YEAR(tblSales[[#This Row],[Date]])</f>
        <v>2024</v>
      </c>
      <c r="Q409" s="5">
        <f>tblSales[[#This Row],[Profit]]/tblSales[[#This Row],[Revenue]]</f>
        <v>0.2</v>
      </c>
      <c r="R409" s="8">
        <f>tblSales[[#This Row],[Revenue]]*1.1</f>
        <v>550000</v>
      </c>
    </row>
    <row r="410" spans="1:18">
      <c r="A410" t="s">
        <v>1109</v>
      </c>
      <c r="B410" s="7">
        <v>45548</v>
      </c>
      <c r="C410" t="s">
        <v>40</v>
      </c>
      <c r="D410" t="s">
        <v>93</v>
      </c>
      <c r="E410" t="s">
        <v>1110</v>
      </c>
      <c r="F410" t="s">
        <v>29</v>
      </c>
      <c r="G410" t="s">
        <v>1111</v>
      </c>
      <c r="H410">
        <v>80</v>
      </c>
      <c r="I410" s="8">
        <v>80000</v>
      </c>
      <c r="J410" s="8">
        <v>16000</v>
      </c>
      <c r="K410">
        <v>0</v>
      </c>
      <c r="L410" s="8">
        <v>2000</v>
      </c>
      <c r="M410" t="s">
        <v>31</v>
      </c>
      <c r="N410" s="11" t="str">
        <f>TEXT(tblSales[[#This Row],[Date]],"mmmm")</f>
        <v>September</v>
      </c>
      <c r="O410" s="11" t="str">
        <f>"Q"&amp;ROUNDUP(MONTH(tblSales[[#This Row],[Date]])/3,0)</f>
        <v>Q3</v>
      </c>
      <c r="P410" s="11">
        <f>YEAR(tblSales[[#This Row],[Date]])</f>
        <v>2024</v>
      </c>
      <c r="Q410" s="5">
        <f>tblSales[[#This Row],[Profit]]/tblSales[[#This Row],[Revenue]]</f>
        <v>0.2</v>
      </c>
      <c r="R410" s="8">
        <f>tblSales[[#This Row],[Revenue]]*1.1</f>
        <v>88000</v>
      </c>
    </row>
    <row r="411" spans="1:18">
      <c r="A411" t="s">
        <v>1112</v>
      </c>
      <c r="B411" s="7">
        <v>45548</v>
      </c>
      <c r="C411" t="s">
        <v>19</v>
      </c>
      <c r="D411" t="s">
        <v>20</v>
      </c>
      <c r="E411" t="s">
        <v>1113</v>
      </c>
      <c r="F411" t="s">
        <v>43</v>
      </c>
      <c r="G411" t="s">
        <v>1114</v>
      </c>
      <c r="H411">
        <v>60</v>
      </c>
      <c r="I411" s="8">
        <v>120000</v>
      </c>
      <c r="J411" s="8">
        <v>18000</v>
      </c>
      <c r="K411">
        <v>0</v>
      </c>
      <c r="L411" s="8">
        <v>4000</v>
      </c>
      <c r="M411" t="s">
        <v>24</v>
      </c>
      <c r="N411" s="11" t="str">
        <f>TEXT(tblSales[[#This Row],[Date]],"mmmm")</f>
        <v>September</v>
      </c>
      <c r="O411" s="11" t="str">
        <f>"Q"&amp;ROUNDUP(MONTH(tblSales[[#This Row],[Date]])/3,0)</f>
        <v>Q3</v>
      </c>
      <c r="P411" s="11">
        <f>YEAR(tblSales[[#This Row],[Date]])</f>
        <v>2024</v>
      </c>
      <c r="Q411" s="5">
        <f>tblSales[[#This Row],[Profit]]/tblSales[[#This Row],[Revenue]]</f>
        <v>0.15</v>
      </c>
      <c r="R411" s="8">
        <f>tblSales[[#This Row],[Revenue]]*1.1</f>
        <v>132000</v>
      </c>
    </row>
    <row r="412" spans="1:18">
      <c r="A412" t="s">
        <v>1115</v>
      </c>
      <c r="B412" s="7">
        <v>45549</v>
      </c>
      <c r="C412" t="s">
        <v>33</v>
      </c>
      <c r="D412" t="s">
        <v>54</v>
      </c>
      <c r="E412" t="s">
        <v>1116</v>
      </c>
      <c r="F412" t="s">
        <v>36</v>
      </c>
      <c r="G412" t="s">
        <v>1117</v>
      </c>
      <c r="H412">
        <v>30</v>
      </c>
      <c r="I412" s="8">
        <v>180000</v>
      </c>
      <c r="J412" s="8">
        <v>36000</v>
      </c>
      <c r="K412">
        <v>0</v>
      </c>
      <c r="L412" s="8">
        <v>5000</v>
      </c>
      <c r="M412" t="s">
        <v>38</v>
      </c>
      <c r="N412" s="11" t="str">
        <f>TEXT(tblSales[[#This Row],[Date]],"mmmm")</f>
        <v>September</v>
      </c>
      <c r="O412" s="11" t="str">
        <f>"Q"&amp;ROUNDUP(MONTH(tblSales[[#This Row],[Date]])/3,0)</f>
        <v>Q3</v>
      </c>
      <c r="P412" s="11">
        <f>YEAR(tblSales[[#This Row],[Date]])</f>
        <v>2024</v>
      </c>
      <c r="Q412" s="5">
        <f>tblSales[[#This Row],[Profit]]/tblSales[[#This Row],[Revenue]]</f>
        <v>0.2</v>
      </c>
      <c r="R412" s="8">
        <f>tblSales[[#This Row],[Revenue]]*1.1</f>
        <v>198000</v>
      </c>
    </row>
    <row r="413" spans="1:18">
      <c r="A413" t="s">
        <v>1118</v>
      </c>
      <c r="B413" s="7">
        <v>45549</v>
      </c>
      <c r="C413" t="s">
        <v>26</v>
      </c>
      <c r="D413" t="s">
        <v>46</v>
      </c>
      <c r="E413" t="s">
        <v>1119</v>
      </c>
      <c r="F413" t="s">
        <v>22</v>
      </c>
      <c r="G413" t="s">
        <v>1120</v>
      </c>
      <c r="H413">
        <v>10</v>
      </c>
      <c r="I413" s="8">
        <v>150000</v>
      </c>
      <c r="J413" s="8">
        <v>22500</v>
      </c>
      <c r="K413">
        <v>0</v>
      </c>
      <c r="L413" s="8">
        <v>3000</v>
      </c>
      <c r="M413" t="s">
        <v>24</v>
      </c>
      <c r="N413" s="11" t="str">
        <f>TEXT(tblSales[[#This Row],[Date]],"mmmm")</f>
        <v>September</v>
      </c>
      <c r="O413" s="11" t="str">
        <f>"Q"&amp;ROUNDUP(MONTH(tblSales[[#This Row],[Date]])/3,0)</f>
        <v>Q3</v>
      </c>
      <c r="P413" s="11">
        <f>YEAR(tblSales[[#This Row],[Date]])</f>
        <v>2024</v>
      </c>
      <c r="Q413" s="5">
        <f>tblSales[[#This Row],[Profit]]/tblSales[[#This Row],[Revenue]]</f>
        <v>0.15</v>
      </c>
      <c r="R413" s="8">
        <f>tblSales[[#This Row],[Revenue]]*1.1</f>
        <v>165000</v>
      </c>
    </row>
    <row r="414" spans="1:18">
      <c r="A414" t="s">
        <v>1121</v>
      </c>
      <c r="B414" s="7">
        <v>45550</v>
      </c>
      <c r="C414" t="s">
        <v>40</v>
      </c>
      <c r="D414" t="s">
        <v>41</v>
      </c>
      <c r="E414" t="s">
        <v>1122</v>
      </c>
      <c r="F414" t="s">
        <v>29</v>
      </c>
      <c r="G414" t="s">
        <v>1123</v>
      </c>
      <c r="H414">
        <v>120</v>
      </c>
      <c r="I414" s="8">
        <v>120000</v>
      </c>
      <c r="J414" s="8">
        <v>24000</v>
      </c>
      <c r="K414">
        <v>0</v>
      </c>
      <c r="L414" s="8">
        <v>4000</v>
      </c>
      <c r="M414" t="s">
        <v>31</v>
      </c>
      <c r="N414" s="11" t="str">
        <f>TEXT(tblSales[[#This Row],[Date]],"mmmm")</f>
        <v>September</v>
      </c>
      <c r="O414" s="11" t="str">
        <f>"Q"&amp;ROUNDUP(MONTH(tblSales[[#This Row],[Date]])/3,0)</f>
        <v>Q3</v>
      </c>
      <c r="P414" s="11">
        <f>YEAR(tblSales[[#This Row],[Date]])</f>
        <v>2024</v>
      </c>
      <c r="Q414" s="5">
        <f>tblSales[[#This Row],[Profit]]/tblSales[[#This Row],[Revenue]]</f>
        <v>0.2</v>
      </c>
      <c r="R414" s="8">
        <f>tblSales[[#This Row],[Revenue]]*1.1</f>
        <v>132000</v>
      </c>
    </row>
    <row r="415" spans="1:18">
      <c r="A415" t="s">
        <v>1124</v>
      </c>
      <c r="B415" s="7">
        <v>45550</v>
      </c>
      <c r="C415" t="s">
        <v>19</v>
      </c>
      <c r="D415" t="s">
        <v>100</v>
      </c>
      <c r="E415" t="s">
        <v>1125</v>
      </c>
      <c r="F415" t="s">
        <v>43</v>
      </c>
      <c r="G415" t="s">
        <v>1126</v>
      </c>
      <c r="H415">
        <v>80</v>
      </c>
      <c r="I415" s="8">
        <v>80000</v>
      </c>
      <c r="J415" s="8">
        <v>12000</v>
      </c>
      <c r="K415">
        <v>0</v>
      </c>
      <c r="L415" s="8">
        <v>3000</v>
      </c>
      <c r="M415" t="s">
        <v>24</v>
      </c>
      <c r="N415" s="11" t="str">
        <f>TEXT(tblSales[[#This Row],[Date]],"mmmm")</f>
        <v>September</v>
      </c>
      <c r="O415" s="11" t="str">
        <f>"Q"&amp;ROUNDUP(MONTH(tblSales[[#This Row],[Date]])/3,0)</f>
        <v>Q3</v>
      </c>
      <c r="P415" s="11">
        <f>YEAR(tblSales[[#This Row],[Date]])</f>
        <v>2024</v>
      </c>
      <c r="Q415" s="5">
        <f>tblSales[[#This Row],[Profit]]/tblSales[[#This Row],[Revenue]]</f>
        <v>0.15</v>
      </c>
      <c r="R415" s="8">
        <f>tblSales[[#This Row],[Revenue]]*1.1</f>
        <v>88000</v>
      </c>
    </row>
    <row r="416" spans="1:18">
      <c r="A416" t="s">
        <v>1127</v>
      </c>
      <c r="B416" s="7">
        <v>45551</v>
      </c>
      <c r="C416" t="s">
        <v>33</v>
      </c>
      <c r="D416" t="s">
        <v>34</v>
      </c>
      <c r="E416" t="s">
        <v>1128</v>
      </c>
      <c r="F416" t="s">
        <v>36</v>
      </c>
      <c r="G416" t="s">
        <v>1129</v>
      </c>
      <c r="H416">
        <v>25</v>
      </c>
      <c r="I416" s="8">
        <v>200000</v>
      </c>
      <c r="J416" s="8">
        <v>40000</v>
      </c>
      <c r="K416">
        <v>0</v>
      </c>
      <c r="L416" s="8">
        <v>5000</v>
      </c>
      <c r="M416" t="s">
        <v>38</v>
      </c>
      <c r="N416" s="11" t="str">
        <f>TEXT(tblSales[[#This Row],[Date]],"mmmm")</f>
        <v>September</v>
      </c>
      <c r="O416" s="11" t="str">
        <f>"Q"&amp;ROUNDUP(MONTH(tblSales[[#This Row],[Date]])/3,0)</f>
        <v>Q3</v>
      </c>
      <c r="P416" s="11">
        <f>YEAR(tblSales[[#This Row],[Date]])</f>
        <v>2024</v>
      </c>
      <c r="Q416" s="5">
        <f>tblSales[[#This Row],[Profit]]/tblSales[[#This Row],[Revenue]]</f>
        <v>0.2</v>
      </c>
      <c r="R416" s="8">
        <f>tblSales[[#This Row],[Revenue]]*1.1</f>
        <v>220000</v>
      </c>
    </row>
    <row r="417" spans="1:18">
      <c r="A417" t="s">
        <v>1130</v>
      </c>
      <c r="B417" s="7">
        <v>45551</v>
      </c>
      <c r="C417" t="s">
        <v>26</v>
      </c>
      <c r="D417" t="s">
        <v>27</v>
      </c>
      <c r="E417" t="s">
        <v>1131</v>
      </c>
      <c r="F417" t="s">
        <v>22</v>
      </c>
      <c r="G417" t="s">
        <v>1132</v>
      </c>
      <c r="H417">
        <v>150</v>
      </c>
      <c r="I417" s="8">
        <v>225000</v>
      </c>
      <c r="J417" s="8">
        <v>45000</v>
      </c>
      <c r="K417">
        <v>0</v>
      </c>
      <c r="L417" s="8">
        <v>8000</v>
      </c>
      <c r="M417" t="s">
        <v>24</v>
      </c>
      <c r="N417" s="11" t="str">
        <f>TEXT(tblSales[[#This Row],[Date]],"mmmm")</f>
        <v>September</v>
      </c>
      <c r="O417" s="11" t="str">
        <f>"Q"&amp;ROUNDUP(MONTH(tblSales[[#This Row],[Date]])/3,0)</f>
        <v>Q3</v>
      </c>
      <c r="P417" s="11">
        <f>YEAR(tblSales[[#This Row],[Date]])</f>
        <v>2024</v>
      </c>
      <c r="Q417" s="5">
        <f>tblSales[[#This Row],[Profit]]/tblSales[[#This Row],[Revenue]]</f>
        <v>0.2</v>
      </c>
      <c r="R417" s="8">
        <f>tblSales[[#This Row],[Revenue]]*1.1</f>
        <v>247500</v>
      </c>
    </row>
    <row r="418" spans="1:18">
      <c r="A418" t="s">
        <v>1133</v>
      </c>
      <c r="B418" s="7">
        <v>45552</v>
      </c>
      <c r="C418" t="s">
        <v>40</v>
      </c>
      <c r="D418" t="s">
        <v>126</v>
      </c>
      <c r="E418" t="s">
        <v>1134</v>
      </c>
      <c r="F418" t="s">
        <v>29</v>
      </c>
      <c r="G418" t="s">
        <v>1135</v>
      </c>
      <c r="H418">
        <v>500</v>
      </c>
      <c r="I418" s="8">
        <v>50000</v>
      </c>
      <c r="J418" s="8">
        <v>10000</v>
      </c>
      <c r="K418">
        <v>0</v>
      </c>
      <c r="L418" s="8">
        <v>2000</v>
      </c>
      <c r="M418" t="s">
        <v>31</v>
      </c>
      <c r="N418" s="11" t="str">
        <f>TEXT(tblSales[[#This Row],[Date]],"mmmm")</f>
        <v>September</v>
      </c>
      <c r="O418" s="11" t="str">
        <f>"Q"&amp;ROUNDUP(MONTH(tblSales[[#This Row],[Date]])/3,0)</f>
        <v>Q3</v>
      </c>
      <c r="P418" s="11">
        <f>YEAR(tblSales[[#This Row],[Date]])</f>
        <v>2024</v>
      </c>
      <c r="Q418" s="5">
        <f>tblSales[[#This Row],[Profit]]/tblSales[[#This Row],[Revenue]]</f>
        <v>0.2</v>
      </c>
      <c r="R418" s="8">
        <f>tblSales[[#This Row],[Revenue]]*1.1</f>
        <v>55000</v>
      </c>
    </row>
    <row r="419" spans="1:18">
      <c r="A419" t="s">
        <v>1136</v>
      </c>
      <c r="B419" s="7">
        <v>45552</v>
      </c>
      <c r="C419" t="s">
        <v>19</v>
      </c>
      <c r="D419" t="s">
        <v>50</v>
      </c>
      <c r="E419" t="s">
        <v>1137</v>
      </c>
      <c r="F419" t="s">
        <v>43</v>
      </c>
      <c r="G419" t="s">
        <v>1138</v>
      </c>
      <c r="H419">
        <v>100</v>
      </c>
      <c r="I419" s="8">
        <v>50000</v>
      </c>
      <c r="J419" s="8">
        <v>7500</v>
      </c>
      <c r="K419">
        <v>0</v>
      </c>
      <c r="L419" s="8">
        <v>2000</v>
      </c>
      <c r="M419" t="s">
        <v>24</v>
      </c>
      <c r="N419" s="11" t="str">
        <f>TEXT(tblSales[[#This Row],[Date]],"mmmm")</f>
        <v>September</v>
      </c>
      <c r="O419" s="11" t="str">
        <f>"Q"&amp;ROUNDUP(MONTH(tblSales[[#This Row],[Date]])/3,0)</f>
        <v>Q3</v>
      </c>
      <c r="P419" s="11">
        <f>YEAR(tblSales[[#This Row],[Date]])</f>
        <v>2024</v>
      </c>
      <c r="Q419" s="5">
        <f>tblSales[[#This Row],[Profit]]/tblSales[[#This Row],[Revenue]]</f>
        <v>0.15</v>
      </c>
      <c r="R419" s="8">
        <f>tblSales[[#This Row],[Revenue]]*1.1</f>
        <v>55000</v>
      </c>
    </row>
    <row r="420" spans="1:18">
      <c r="A420" t="s">
        <v>1139</v>
      </c>
      <c r="B420" s="7">
        <v>45553</v>
      </c>
      <c r="C420" t="s">
        <v>33</v>
      </c>
      <c r="D420" t="s">
        <v>54</v>
      </c>
      <c r="E420" t="s">
        <v>1140</v>
      </c>
      <c r="F420" t="s">
        <v>36</v>
      </c>
      <c r="G420" t="s">
        <v>1141</v>
      </c>
      <c r="H420">
        <v>15</v>
      </c>
      <c r="I420" s="8">
        <v>90000</v>
      </c>
      <c r="J420" s="8">
        <v>18000</v>
      </c>
      <c r="K420">
        <v>0</v>
      </c>
      <c r="L420" s="8">
        <v>2000</v>
      </c>
      <c r="M420" t="s">
        <v>38</v>
      </c>
      <c r="N420" s="11" t="str">
        <f>TEXT(tblSales[[#This Row],[Date]],"mmmm")</f>
        <v>September</v>
      </c>
      <c r="O420" s="11" t="str">
        <f>"Q"&amp;ROUNDUP(MONTH(tblSales[[#This Row],[Date]])/3,0)</f>
        <v>Q3</v>
      </c>
      <c r="P420" s="11">
        <f>YEAR(tblSales[[#This Row],[Date]])</f>
        <v>2024</v>
      </c>
      <c r="Q420" s="5">
        <f>tblSales[[#This Row],[Profit]]/tblSales[[#This Row],[Revenue]]</f>
        <v>0.2</v>
      </c>
      <c r="R420" s="8">
        <f>tblSales[[#This Row],[Revenue]]*1.1</f>
        <v>99000</v>
      </c>
    </row>
    <row r="421" spans="1:18">
      <c r="A421" t="s">
        <v>1142</v>
      </c>
      <c r="B421" s="7">
        <v>45553</v>
      </c>
      <c r="C421" t="s">
        <v>26</v>
      </c>
      <c r="D421" t="s">
        <v>71</v>
      </c>
      <c r="E421" t="s">
        <v>1143</v>
      </c>
      <c r="F421" t="s">
        <v>22</v>
      </c>
      <c r="G421" t="s">
        <v>1144</v>
      </c>
      <c r="H421">
        <v>80</v>
      </c>
      <c r="I421" s="8">
        <v>240000</v>
      </c>
      <c r="J421" s="8">
        <v>48000</v>
      </c>
      <c r="K421">
        <v>0</v>
      </c>
      <c r="L421" s="8">
        <v>8000</v>
      </c>
      <c r="M421" t="s">
        <v>24</v>
      </c>
      <c r="N421" s="11" t="str">
        <f>TEXT(tblSales[[#This Row],[Date]],"mmmm")</f>
        <v>September</v>
      </c>
      <c r="O421" s="11" t="str">
        <f>"Q"&amp;ROUNDUP(MONTH(tblSales[[#This Row],[Date]])/3,0)</f>
        <v>Q3</v>
      </c>
      <c r="P421" s="11">
        <f>YEAR(tblSales[[#This Row],[Date]])</f>
        <v>2024</v>
      </c>
      <c r="Q421" s="5">
        <f>tblSales[[#This Row],[Profit]]/tblSales[[#This Row],[Revenue]]</f>
        <v>0.2</v>
      </c>
      <c r="R421" s="8">
        <f>tblSales[[#This Row],[Revenue]]*1.1</f>
        <v>264000</v>
      </c>
    </row>
    <row r="422" spans="1:18">
      <c r="A422" t="s">
        <v>1145</v>
      </c>
      <c r="B422" s="7">
        <v>45554</v>
      </c>
      <c r="C422" t="s">
        <v>40</v>
      </c>
      <c r="D422" t="s">
        <v>41</v>
      </c>
      <c r="E422" t="s">
        <v>1146</v>
      </c>
      <c r="F422" t="s">
        <v>29</v>
      </c>
      <c r="G422" t="s">
        <v>1147</v>
      </c>
      <c r="H422">
        <v>70</v>
      </c>
      <c r="I422" s="8">
        <v>140000</v>
      </c>
      <c r="J422" s="8">
        <v>28000</v>
      </c>
      <c r="K422">
        <v>0</v>
      </c>
      <c r="L422" s="8">
        <v>5000</v>
      </c>
      <c r="M422" t="s">
        <v>31</v>
      </c>
      <c r="N422" s="11" t="str">
        <f>TEXT(tblSales[[#This Row],[Date]],"mmmm")</f>
        <v>September</v>
      </c>
      <c r="O422" s="11" t="str">
        <f>"Q"&amp;ROUNDUP(MONTH(tblSales[[#This Row],[Date]])/3,0)</f>
        <v>Q3</v>
      </c>
      <c r="P422" s="11">
        <f>YEAR(tblSales[[#This Row],[Date]])</f>
        <v>2024</v>
      </c>
      <c r="Q422" s="5">
        <f>tblSales[[#This Row],[Profit]]/tblSales[[#This Row],[Revenue]]</f>
        <v>0.2</v>
      </c>
      <c r="R422" s="8">
        <f>tblSales[[#This Row],[Revenue]]*1.1</f>
        <v>154000</v>
      </c>
    </row>
    <row r="423" spans="1:18">
      <c r="A423" t="s">
        <v>1148</v>
      </c>
      <c r="B423" s="7">
        <v>45554</v>
      </c>
      <c r="C423" t="s">
        <v>19</v>
      </c>
      <c r="D423" t="s">
        <v>20</v>
      </c>
      <c r="E423" t="s">
        <v>1149</v>
      </c>
      <c r="F423" t="s">
        <v>43</v>
      </c>
      <c r="G423" t="s">
        <v>1150</v>
      </c>
      <c r="H423">
        <v>35</v>
      </c>
      <c r="I423" s="8">
        <v>52500</v>
      </c>
      <c r="J423" s="8">
        <v>7875</v>
      </c>
      <c r="K423">
        <v>0</v>
      </c>
      <c r="L423" s="8">
        <v>2000</v>
      </c>
      <c r="M423" t="s">
        <v>24</v>
      </c>
      <c r="N423" s="11" t="str">
        <f>TEXT(tblSales[[#This Row],[Date]],"mmmm")</f>
        <v>September</v>
      </c>
      <c r="O423" s="11" t="str">
        <f>"Q"&amp;ROUNDUP(MONTH(tblSales[[#This Row],[Date]])/3,0)</f>
        <v>Q3</v>
      </c>
      <c r="P423" s="11">
        <f>YEAR(tblSales[[#This Row],[Date]])</f>
        <v>2024</v>
      </c>
      <c r="Q423" s="5">
        <f>tblSales[[#This Row],[Profit]]/tblSales[[#This Row],[Revenue]]</f>
        <v>0.15</v>
      </c>
      <c r="R423" s="8">
        <f>tblSales[[#This Row],[Revenue]]*1.1</f>
        <v>57750</v>
      </c>
    </row>
    <row r="424" spans="1:18">
      <c r="A424" t="s">
        <v>1151</v>
      </c>
      <c r="B424" s="7">
        <v>45555</v>
      </c>
      <c r="C424" t="s">
        <v>33</v>
      </c>
      <c r="D424" t="s">
        <v>34</v>
      </c>
      <c r="E424" t="s">
        <v>1152</v>
      </c>
      <c r="F424" t="s">
        <v>36</v>
      </c>
      <c r="G424" t="s">
        <v>1153</v>
      </c>
      <c r="H424">
        <v>100</v>
      </c>
      <c r="I424" s="8">
        <v>150000</v>
      </c>
      <c r="J424" s="8">
        <v>30000</v>
      </c>
      <c r="K424">
        <v>0</v>
      </c>
      <c r="L424" s="8">
        <v>5000</v>
      </c>
      <c r="M424" t="s">
        <v>38</v>
      </c>
      <c r="N424" s="11" t="str">
        <f>TEXT(tblSales[[#This Row],[Date]],"mmmm")</f>
        <v>September</v>
      </c>
      <c r="O424" s="11" t="str">
        <f>"Q"&amp;ROUNDUP(MONTH(tblSales[[#This Row],[Date]])/3,0)</f>
        <v>Q3</v>
      </c>
      <c r="P424" s="11">
        <f>YEAR(tblSales[[#This Row],[Date]])</f>
        <v>2024</v>
      </c>
      <c r="Q424" s="5">
        <f>tblSales[[#This Row],[Profit]]/tblSales[[#This Row],[Revenue]]</f>
        <v>0.2</v>
      </c>
      <c r="R424" s="8">
        <f>tblSales[[#This Row],[Revenue]]*1.1</f>
        <v>165000</v>
      </c>
    </row>
    <row r="425" spans="1:18">
      <c r="A425" t="s">
        <v>1154</v>
      </c>
      <c r="B425" s="7">
        <v>45555</v>
      </c>
      <c r="C425" t="s">
        <v>26</v>
      </c>
      <c r="D425" t="s">
        <v>27</v>
      </c>
      <c r="E425" t="s">
        <v>1155</v>
      </c>
      <c r="F425" t="s">
        <v>22</v>
      </c>
      <c r="G425" t="s">
        <v>1156</v>
      </c>
      <c r="H425">
        <v>500</v>
      </c>
      <c r="I425" s="8">
        <v>100000</v>
      </c>
      <c r="J425" s="8">
        <v>20000</v>
      </c>
      <c r="K425">
        <v>0</v>
      </c>
      <c r="L425" s="8">
        <v>4000</v>
      </c>
      <c r="M425" t="s">
        <v>24</v>
      </c>
      <c r="N425" s="11" t="str">
        <f>TEXT(tblSales[[#This Row],[Date]],"mmmm")</f>
        <v>September</v>
      </c>
      <c r="O425" s="11" t="str">
        <f>"Q"&amp;ROUNDUP(MONTH(tblSales[[#This Row],[Date]])/3,0)</f>
        <v>Q3</v>
      </c>
      <c r="P425" s="11">
        <f>YEAR(tblSales[[#This Row],[Date]])</f>
        <v>2024</v>
      </c>
      <c r="Q425" s="5">
        <f>tblSales[[#This Row],[Profit]]/tblSales[[#This Row],[Revenue]]</f>
        <v>0.2</v>
      </c>
      <c r="R425" s="8">
        <f>tblSales[[#This Row],[Revenue]]*1.1</f>
        <v>110000</v>
      </c>
    </row>
    <row r="426" spans="1:18">
      <c r="A426" t="s">
        <v>1157</v>
      </c>
      <c r="B426" s="7">
        <v>45556</v>
      </c>
      <c r="C426" t="s">
        <v>40</v>
      </c>
      <c r="D426" t="s">
        <v>93</v>
      </c>
      <c r="E426" t="s">
        <v>1052</v>
      </c>
      <c r="F426" t="s">
        <v>29</v>
      </c>
      <c r="G426" t="s">
        <v>1158</v>
      </c>
      <c r="H426">
        <v>25</v>
      </c>
      <c r="I426" s="8">
        <v>375000</v>
      </c>
      <c r="J426" s="8">
        <v>75000</v>
      </c>
      <c r="K426">
        <v>0</v>
      </c>
      <c r="L426" s="8">
        <v>10000</v>
      </c>
      <c r="M426" t="s">
        <v>31</v>
      </c>
      <c r="N426" s="11" t="str">
        <f>TEXT(tblSales[[#This Row],[Date]],"mmmm")</f>
        <v>September</v>
      </c>
      <c r="O426" s="11" t="str">
        <f>"Q"&amp;ROUNDUP(MONTH(tblSales[[#This Row],[Date]])/3,0)</f>
        <v>Q3</v>
      </c>
      <c r="P426" s="11">
        <f>YEAR(tblSales[[#This Row],[Date]])</f>
        <v>2024</v>
      </c>
      <c r="Q426" s="5">
        <f>tblSales[[#This Row],[Profit]]/tblSales[[#This Row],[Revenue]]</f>
        <v>0.2</v>
      </c>
      <c r="R426" s="8">
        <f>tblSales[[#This Row],[Revenue]]*1.1</f>
        <v>412500</v>
      </c>
    </row>
    <row r="427" spans="1:18">
      <c r="A427" t="s">
        <v>1159</v>
      </c>
      <c r="B427" s="7">
        <v>45556</v>
      </c>
      <c r="C427" t="s">
        <v>19</v>
      </c>
      <c r="D427" t="s">
        <v>113</v>
      </c>
      <c r="E427" t="s">
        <v>1160</v>
      </c>
      <c r="F427" t="s">
        <v>43</v>
      </c>
      <c r="G427" t="s">
        <v>1161</v>
      </c>
      <c r="H427">
        <v>40</v>
      </c>
      <c r="I427" s="8">
        <v>120000</v>
      </c>
      <c r="J427" s="8">
        <v>18000</v>
      </c>
      <c r="K427">
        <v>0</v>
      </c>
      <c r="L427" s="8">
        <v>4000</v>
      </c>
      <c r="M427" t="s">
        <v>24</v>
      </c>
      <c r="N427" s="11" t="str">
        <f>TEXT(tblSales[[#This Row],[Date]],"mmmm")</f>
        <v>September</v>
      </c>
      <c r="O427" s="11" t="str">
        <f>"Q"&amp;ROUNDUP(MONTH(tblSales[[#This Row],[Date]])/3,0)</f>
        <v>Q3</v>
      </c>
      <c r="P427" s="11">
        <f>YEAR(tblSales[[#This Row],[Date]])</f>
        <v>2024</v>
      </c>
      <c r="Q427" s="5">
        <f>tblSales[[#This Row],[Profit]]/tblSales[[#This Row],[Revenue]]</f>
        <v>0.15</v>
      </c>
      <c r="R427" s="8">
        <f>tblSales[[#This Row],[Revenue]]*1.1</f>
        <v>132000</v>
      </c>
    </row>
    <row r="428" spans="1:18">
      <c r="A428" t="s">
        <v>1162</v>
      </c>
      <c r="B428" s="7">
        <v>45557</v>
      </c>
      <c r="C428" t="s">
        <v>33</v>
      </c>
      <c r="D428" t="s">
        <v>54</v>
      </c>
      <c r="E428" t="s">
        <v>1163</v>
      </c>
      <c r="F428" t="s">
        <v>36</v>
      </c>
      <c r="G428" t="s">
        <v>1164</v>
      </c>
      <c r="H428">
        <v>200</v>
      </c>
      <c r="I428" s="8">
        <v>100000</v>
      </c>
      <c r="J428" s="8">
        <v>20000</v>
      </c>
      <c r="K428">
        <v>0</v>
      </c>
      <c r="L428" s="8">
        <v>5000</v>
      </c>
      <c r="M428" t="s">
        <v>38</v>
      </c>
      <c r="N428" s="11" t="str">
        <f>TEXT(tblSales[[#This Row],[Date]],"mmmm")</f>
        <v>September</v>
      </c>
      <c r="O428" s="11" t="str">
        <f>"Q"&amp;ROUNDUP(MONTH(tblSales[[#This Row],[Date]])/3,0)</f>
        <v>Q3</v>
      </c>
      <c r="P428" s="11">
        <f>YEAR(tblSales[[#This Row],[Date]])</f>
        <v>2024</v>
      </c>
      <c r="Q428" s="5">
        <f>tblSales[[#This Row],[Profit]]/tblSales[[#This Row],[Revenue]]</f>
        <v>0.2</v>
      </c>
      <c r="R428" s="8">
        <f>tblSales[[#This Row],[Revenue]]*1.1</f>
        <v>110000</v>
      </c>
    </row>
    <row r="429" spans="1:18">
      <c r="A429" t="s">
        <v>1165</v>
      </c>
      <c r="B429" s="7">
        <v>45557</v>
      </c>
      <c r="C429" t="s">
        <v>26</v>
      </c>
      <c r="D429" t="s">
        <v>46</v>
      </c>
      <c r="E429" t="s">
        <v>450</v>
      </c>
      <c r="F429" t="s">
        <v>22</v>
      </c>
      <c r="G429" t="s">
        <v>415</v>
      </c>
      <c r="H429">
        <v>300</v>
      </c>
      <c r="I429" s="8">
        <v>90000</v>
      </c>
      <c r="J429" s="8">
        <v>18000</v>
      </c>
      <c r="K429">
        <v>0</v>
      </c>
      <c r="L429" s="8">
        <v>3000</v>
      </c>
      <c r="M429" t="s">
        <v>24</v>
      </c>
      <c r="N429" s="11" t="str">
        <f>TEXT(tblSales[[#This Row],[Date]],"mmmm")</f>
        <v>September</v>
      </c>
      <c r="O429" s="11" t="str">
        <f>"Q"&amp;ROUNDUP(MONTH(tblSales[[#This Row],[Date]])/3,0)</f>
        <v>Q3</v>
      </c>
      <c r="P429" s="11">
        <f>YEAR(tblSales[[#This Row],[Date]])</f>
        <v>2024</v>
      </c>
      <c r="Q429" s="5">
        <f>tblSales[[#This Row],[Profit]]/tblSales[[#This Row],[Revenue]]</f>
        <v>0.2</v>
      </c>
      <c r="R429" s="8">
        <f>tblSales[[#This Row],[Revenue]]*1.1</f>
        <v>99000</v>
      </c>
    </row>
    <row r="430" spans="1:18">
      <c r="A430" t="s">
        <v>1166</v>
      </c>
      <c r="B430" s="7">
        <v>45558</v>
      </c>
      <c r="C430" t="s">
        <v>40</v>
      </c>
      <c r="D430" t="s">
        <v>41</v>
      </c>
      <c r="E430" t="s">
        <v>1167</v>
      </c>
      <c r="F430" t="s">
        <v>29</v>
      </c>
      <c r="G430" t="s">
        <v>1168</v>
      </c>
      <c r="H430">
        <v>150</v>
      </c>
      <c r="I430" s="8">
        <v>75000</v>
      </c>
      <c r="J430" s="8">
        <v>15000</v>
      </c>
      <c r="K430">
        <v>0</v>
      </c>
      <c r="L430" s="8">
        <v>3000</v>
      </c>
      <c r="M430" t="s">
        <v>31</v>
      </c>
      <c r="N430" s="11" t="str">
        <f>TEXT(tblSales[[#This Row],[Date]],"mmmm")</f>
        <v>September</v>
      </c>
      <c r="O430" s="11" t="str">
        <f>"Q"&amp;ROUNDUP(MONTH(tblSales[[#This Row],[Date]])/3,0)</f>
        <v>Q3</v>
      </c>
      <c r="P430" s="11">
        <f>YEAR(tblSales[[#This Row],[Date]])</f>
        <v>2024</v>
      </c>
      <c r="Q430" s="5">
        <f>tblSales[[#This Row],[Profit]]/tblSales[[#This Row],[Revenue]]</f>
        <v>0.2</v>
      </c>
      <c r="R430" s="8">
        <f>tblSales[[#This Row],[Revenue]]*1.1</f>
        <v>82500</v>
      </c>
    </row>
    <row r="431" spans="1:18">
      <c r="A431" t="s">
        <v>1169</v>
      </c>
      <c r="B431" s="7">
        <v>45558</v>
      </c>
      <c r="C431" t="s">
        <v>19</v>
      </c>
      <c r="D431" t="s">
        <v>50</v>
      </c>
      <c r="E431" t="s">
        <v>1170</v>
      </c>
      <c r="F431" t="s">
        <v>43</v>
      </c>
      <c r="G431" t="s">
        <v>1171</v>
      </c>
      <c r="H431">
        <v>80</v>
      </c>
      <c r="I431" s="8">
        <v>80000</v>
      </c>
      <c r="J431" s="8">
        <v>12000</v>
      </c>
      <c r="K431">
        <v>0</v>
      </c>
      <c r="L431" s="8">
        <v>2000</v>
      </c>
      <c r="M431" t="s">
        <v>24</v>
      </c>
      <c r="N431" s="11" t="str">
        <f>TEXT(tblSales[[#This Row],[Date]],"mmmm")</f>
        <v>September</v>
      </c>
      <c r="O431" s="11" t="str">
        <f>"Q"&amp;ROUNDUP(MONTH(tblSales[[#This Row],[Date]])/3,0)</f>
        <v>Q3</v>
      </c>
      <c r="P431" s="11">
        <f>YEAR(tblSales[[#This Row],[Date]])</f>
        <v>2024</v>
      </c>
      <c r="Q431" s="5">
        <f>tblSales[[#This Row],[Profit]]/tblSales[[#This Row],[Revenue]]</f>
        <v>0.15</v>
      </c>
      <c r="R431" s="8">
        <f>tblSales[[#This Row],[Revenue]]*1.1</f>
        <v>88000</v>
      </c>
    </row>
    <row r="432" spans="1:18">
      <c r="A432" t="s">
        <v>1172</v>
      </c>
      <c r="B432" s="7">
        <v>45559</v>
      </c>
      <c r="C432" t="s">
        <v>33</v>
      </c>
      <c r="D432" t="s">
        <v>34</v>
      </c>
      <c r="E432" t="s">
        <v>1173</v>
      </c>
      <c r="F432" t="s">
        <v>36</v>
      </c>
      <c r="G432" t="s">
        <v>1174</v>
      </c>
      <c r="H432">
        <v>50</v>
      </c>
      <c r="I432" s="8">
        <v>50000</v>
      </c>
      <c r="J432" s="8">
        <v>10000</v>
      </c>
      <c r="K432">
        <v>0</v>
      </c>
      <c r="L432" s="8">
        <v>2000</v>
      </c>
      <c r="M432" t="s">
        <v>38</v>
      </c>
      <c r="N432" s="11" t="str">
        <f>TEXT(tblSales[[#This Row],[Date]],"mmmm")</f>
        <v>September</v>
      </c>
      <c r="O432" s="11" t="str">
        <f>"Q"&amp;ROUNDUP(MONTH(tblSales[[#This Row],[Date]])/3,0)</f>
        <v>Q3</v>
      </c>
      <c r="P432" s="11">
        <f>YEAR(tblSales[[#This Row],[Date]])</f>
        <v>2024</v>
      </c>
      <c r="Q432" s="5">
        <f>tblSales[[#This Row],[Profit]]/tblSales[[#This Row],[Revenue]]</f>
        <v>0.2</v>
      </c>
      <c r="R432" s="8">
        <f>tblSales[[#This Row],[Revenue]]*1.1</f>
        <v>55000</v>
      </c>
    </row>
    <row r="433" spans="1:18">
      <c r="A433" t="s">
        <v>1175</v>
      </c>
      <c r="B433" s="7">
        <v>45559</v>
      </c>
      <c r="C433" t="s">
        <v>26</v>
      </c>
      <c r="D433" t="s">
        <v>27</v>
      </c>
      <c r="E433" t="s">
        <v>1176</v>
      </c>
      <c r="F433" t="s">
        <v>22</v>
      </c>
      <c r="G433" t="s">
        <v>1177</v>
      </c>
      <c r="H433">
        <v>120</v>
      </c>
      <c r="I433" s="8">
        <v>240000</v>
      </c>
      <c r="J433" s="8">
        <v>48000</v>
      </c>
      <c r="K433">
        <v>0</v>
      </c>
      <c r="L433" s="8">
        <v>8000</v>
      </c>
      <c r="M433" t="s">
        <v>24</v>
      </c>
      <c r="N433" s="11" t="str">
        <f>TEXT(tblSales[[#This Row],[Date]],"mmmm")</f>
        <v>September</v>
      </c>
      <c r="O433" s="11" t="str">
        <f>"Q"&amp;ROUNDUP(MONTH(tblSales[[#This Row],[Date]])/3,0)</f>
        <v>Q3</v>
      </c>
      <c r="P433" s="11">
        <f>YEAR(tblSales[[#This Row],[Date]])</f>
        <v>2024</v>
      </c>
      <c r="Q433" s="5">
        <f>tblSales[[#This Row],[Profit]]/tblSales[[#This Row],[Revenue]]</f>
        <v>0.2</v>
      </c>
      <c r="R433" s="8">
        <f>tblSales[[#This Row],[Revenue]]*1.1</f>
        <v>264000</v>
      </c>
    </row>
    <row r="434" spans="1:18">
      <c r="A434" t="s">
        <v>1178</v>
      </c>
      <c r="B434" s="7">
        <v>45560</v>
      </c>
      <c r="C434" t="s">
        <v>40</v>
      </c>
      <c r="D434" t="s">
        <v>126</v>
      </c>
      <c r="E434" t="s">
        <v>1179</v>
      </c>
      <c r="F434" t="s">
        <v>29</v>
      </c>
      <c r="G434" t="s">
        <v>1180</v>
      </c>
      <c r="H434">
        <v>30</v>
      </c>
      <c r="I434" s="8">
        <v>210000</v>
      </c>
      <c r="J434" s="8">
        <v>42000</v>
      </c>
      <c r="K434">
        <v>0</v>
      </c>
      <c r="L434" s="8">
        <v>6000</v>
      </c>
      <c r="M434" t="s">
        <v>31</v>
      </c>
      <c r="N434" s="11" t="str">
        <f>TEXT(tblSales[[#This Row],[Date]],"mmmm")</f>
        <v>September</v>
      </c>
      <c r="O434" s="11" t="str">
        <f>"Q"&amp;ROUNDUP(MONTH(tblSales[[#This Row],[Date]])/3,0)</f>
        <v>Q3</v>
      </c>
      <c r="P434" s="11">
        <f>YEAR(tblSales[[#This Row],[Date]])</f>
        <v>2024</v>
      </c>
      <c r="Q434" s="5">
        <f>tblSales[[#This Row],[Profit]]/tblSales[[#This Row],[Revenue]]</f>
        <v>0.2</v>
      </c>
      <c r="R434" s="8">
        <f>tblSales[[#This Row],[Revenue]]*1.1</f>
        <v>231000</v>
      </c>
    </row>
    <row r="435" spans="1:18">
      <c r="A435" t="s">
        <v>1181</v>
      </c>
      <c r="B435" s="7">
        <v>45560</v>
      </c>
      <c r="C435" t="s">
        <v>19</v>
      </c>
      <c r="D435" t="s">
        <v>20</v>
      </c>
      <c r="E435" t="s">
        <v>1182</v>
      </c>
      <c r="F435" t="s">
        <v>43</v>
      </c>
      <c r="G435" t="s">
        <v>1183</v>
      </c>
      <c r="H435">
        <v>80</v>
      </c>
      <c r="I435" s="8">
        <v>400000</v>
      </c>
      <c r="J435" s="8">
        <v>60000</v>
      </c>
      <c r="K435">
        <v>0</v>
      </c>
      <c r="L435" s="8">
        <v>15000</v>
      </c>
      <c r="M435" t="s">
        <v>24</v>
      </c>
      <c r="N435" s="11" t="str">
        <f>TEXT(tblSales[[#This Row],[Date]],"mmmm")</f>
        <v>September</v>
      </c>
      <c r="O435" s="11" t="str">
        <f>"Q"&amp;ROUNDUP(MONTH(tblSales[[#This Row],[Date]])/3,0)</f>
        <v>Q3</v>
      </c>
      <c r="P435" s="11">
        <f>YEAR(tblSales[[#This Row],[Date]])</f>
        <v>2024</v>
      </c>
      <c r="Q435" s="5">
        <f>tblSales[[#This Row],[Profit]]/tblSales[[#This Row],[Revenue]]</f>
        <v>0.15</v>
      </c>
      <c r="R435" s="8">
        <f>tblSales[[#This Row],[Revenue]]*1.1</f>
        <v>440000</v>
      </c>
    </row>
    <row r="436" spans="1:18">
      <c r="A436" t="s">
        <v>1184</v>
      </c>
      <c r="B436" s="7">
        <v>45561</v>
      </c>
      <c r="C436" t="s">
        <v>33</v>
      </c>
      <c r="D436" t="s">
        <v>54</v>
      </c>
      <c r="E436" t="s">
        <v>1185</v>
      </c>
      <c r="F436" t="s">
        <v>36</v>
      </c>
      <c r="G436" t="s">
        <v>1186</v>
      </c>
      <c r="H436">
        <v>10</v>
      </c>
      <c r="I436" s="8">
        <v>250000</v>
      </c>
      <c r="J436" s="8">
        <v>50000</v>
      </c>
      <c r="K436">
        <v>0</v>
      </c>
      <c r="L436" s="8">
        <v>5000</v>
      </c>
      <c r="M436" t="s">
        <v>38</v>
      </c>
      <c r="N436" s="11" t="str">
        <f>TEXT(tblSales[[#This Row],[Date]],"mmmm")</f>
        <v>September</v>
      </c>
      <c r="O436" s="11" t="str">
        <f>"Q"&amp;ROUNDUP(MONTH(tblSales[[#This Row],[Date]])/3,0)</f>
        <v>Q3</v>
      </c>
      <c r="P436" s="11">
        <f>YEAR(tblSales[[#This Row],[Date]])</f>
        <v>2024</v>
      </c>
      <c r="Q436" s="5">
        <f>tblSales[[#This Row],[Profit]]/tblSales[[#This Row],[Revenue]]</f>
        <v>0.2</v>
      </c>
      <c r="R436" s="8">
        <f>tblSales[[#This Row],[Revenue]]*1.1</f>
        <v>275000</v>
      </c>
    </row>
    <row r="437" spans="1:18">
      <c r="A437" t="s">
        <v>1187</v>
      </c>
      <c r="B437" s="7">
        <v>45561</v>
      </c>
      <c r="C437" t="s">
        <v>26</v>
      </c>
      <c r="D437" t="s">
        <v>71</v>
      </c>
      <c r="E437" t="s">
        <v>1188</v>
      </c>
      <c r="F437" t="s">
        <v>22</v>
      </c>
      <c r="G437" t="s">
        <v>1189</v>
      </c>
      <c r="H437">
        <v>200</v>
      </c>
      <c r="I437" s="8">
        <v>200000</v>
      </c>
      <c r="J437" s="8">
        <v>40000</v>
      </c>
      <c r="K437">
        <v>0</v>
      </c>
      <c r="L437" s="8">
        <v>8000</v>
      </c>
      <c r="M437" t="s">
        <v>24</v>
      </c>
      <c r="N437" s="11" t="str">
        <f>TEXT(tblSales[[#This Row],[Date]],"mmmm")</f>
        <v>September</v>
      </c>
      <c r="O437" s="11" t="str">
        <f>"Q"&amp;ROUNDUP(MONTH(tblSales[[#This Row],[Date]])/3,0)</f>
        <v>Q3</v>
      </c>
      <c r="P437" s="11">
        <f>YEAR(tblSales[[#This Row],[Date]])</f>
        <v>2024</v>
      </c>
      <c r="Q437" s="5">
        <f>tblSales[[#This Row],[Profit]]/tblSales[[#This Row],[Revenue]]</f>
        <v>0.2</v>
      </c>
      <c r="R437" s="8">
        <f>tblSales[[#This Row],[Revenue]]*1.1</f>
        <v>220000</v>
      </c>
    </row>
    <row r="438" spans="1:18">
      <c r="A438" t="s">
        <v>1190</v>
      </c>
      <c r="B438" s="7">
        <v>45562</v>
      </c>
      <c r="C438" t="s">
        <v>40</v>
      </c>
      <c r="D438" t="s">
        <v>41</v>
      </c>
      <c r="E438" t="s">
        <v>1191</v>
      </c>
      <c r="F438" t="s">
        <v>29</v>
      </c>
      <c r="G438" t="s">
        <v>1192</v>
      </c>
      <c r="H438">
        <v>180</v>
      </c>
      <c r="I438" s="8">
        <v>90000</v>
      </c>
      <c r="J438" s="8">
        <v>18000</v>
      </c>
      <c r="K438">
        <v>0</v>
      </c>
      <c r="L438" s="8">
        <v>3000</v>
      </c>
      <c r="M438" t="s">
        <v>31</v>
      </c>
      <c r="N438" s="11" t="str">
        <f>TEXT(tblSales[[#This Row],[Date]],"mmmm")</f>
        <v>September</v>
      </c>
      <c r="O438" s="11" t="str">
        <f>"Q"&amp;ROUNDUP(MONTH(tblSales[[#This Row],[Date]])/3,0)</f>
        <v>Q3</v>
      </c>
      <c r="P438" s="11">
        <f>YEAR(tblSales[[#This Row],[Date]])</f>
        <v>2024</v>
      </c>
      <c r="Q438" s="5">
        <f>tblSales[[#This Row],[Profit]]/tblSales[[#This Row],[Revenue]]</f>
        <v>0.2</v>
      </c>
      <c r="R438" s="8">
        <f>tblSales[[#This Row],[Revenue]]*1.1</f>
        <v>99000</v>
      </c>
    </row>
    <row r="439" spans="1:18">
      <c r="A439" t="s">
        <v>1193</v>
      </c>
      <c r="B439" s="7">
        <v>45562</v>
      </c>
      <c r="C439" t="s">
        <v>19</v>
      </c>
      <c r="D439" t="s">
        <v>100</v>
      </c>
      <c r="E439" t="s">
        <v>1194</v>
      </c>
      <c r="F439" t="s">
        <v>43</v>
      </c>
      <c r="G439" t="s">
        <v>1195</v>
      </c>
      <c r="H439">
        <v>25</v>
      </c>
      <c r="I439" s="8">
        <v>75000</v>
      </c>
      <c r="J439" s="8">
        <v>11250</v>
      </c>
      <c r="K439">
        <v>0</v>
      </c>
      <c r="L439" s="8">
        <v>2000</v>
      </c>
      <c r="M439" t="s">
        <v>24</v>
      </c>
      <c r="N439" s="11" t="str">
        <f>TEXT(tblSales[[#This Row],[Date]],"mmmm")</f>
        <v>September</v>
      </c>
      <c r="O439" s="11" t="str">
        <f>"Q"&amp;ROUNDUP(MONTH(tblSales[[#This Row],[Date]])/3,0)</f>
        <v>Q3</v>
      </c>
      <c r="P439" s="11">
        <f>YEAR(tblSales[[#This Row],[Date]])</f>
        <v>2024</v>
      </c>
      <c r="Q439" s="5">
        <f>tblSales[[#This Row],[Profit]]/tblSales[[#This Row],[Revenue]]</f>
        <v>0.15</v>
      </c>
      <c r="R439" s="8">
        <f>tblSales[[#This Row],[Revenue]]*1.1</f>
        <v>82500</v>
      </c>
    </row>
    <row r="440" spans="1:18">
      <c r="A440" t="s">
        <v>1196</v>
      </c>
      <c r="B440" s="7">
        <v>45563</v>
      </c>
      <c r="C440" t="s">
        <v>33</v>
      </c>
      <c r="D440" t="s">
        <v>34</v>
      </c>
      <c r="E440" t="s">
        <v>1197</v>
      </c>
      <c r="F440" t="s">
        <v>36</v>
      </c>
      <c r="G440" t="s">
        <v>1198</v>
      </c>
      <c r="H440">
        <v>5</v>
      </c>
      <c r="I440" s="8">
        <v>50000</v>
      </c>
      <c r="J440" s="8">
        <v>10000</v>
      </c>
      <c r="K440">
        <v>0</v>
      </c>
      <c r="L440" s="8">
        <v>1000</v>
      </c>
      <c r="M440" t="s">
        <v>38</v>
      </c>
      <c r="N440" s="11" t="str">
        <f>TEXT(tblSales[[#This Row],[Date]],"mmmm")</f>
        <v>September</v>
      </c>
      <c r="O440" s="11" t="str">
        <f>"Q"&amp;ROUNDUP(MONTH(tblSales[[#This Row],[Date]])/3,0)</f>
        <v>Q3</v>
      </c>
      <c r="P440" s="11">
        <f>YEAR(tblSales[[#This Row],[Date]])</f>
        <v>2024</v>
      </c>
      <c r="Q440" s="5">
        <f>tblSales[[#This Row],[Profit]]/tblSales[[#This Row],[Revenue]]</f>
        <v>0.2</v>
      </c>
      <c r="R440" s="8">
        <f>tblSales[[#This Row],[Revenue]]*1.1</f>
        <v>55000</v>
      </c>
    </row>
    <row r="441" spans="1:18">
      <c r="A441" t="s">
        <v>1199</v>
      </c>
      <c r="B441" s="7">
        <v>45563</v>
      </c>
      <c r="C441" t="s">
        <v>26</v>
      </c>
      <c r="D441" t="s">
        <v>27</v>
      </c>
      <c r="E441" t="s">
        <v>1200</v>
      </c>
      <c r="F441" t="s">
        <v>22</v>
      </c>
      <c r="G441" t="s">
        <v>1201</v>
      </c>
      <c r="H441">
        <v>400</v>
      </c>
      <c r="I441" s="8">
        <v>120000</v>
      </c>
      <c r="J441" s="8">
        <v>24000</v>
      </c>
      <c r="K441">
        <v>0</v>
      </c>
      <c r="L441" s="8">
        <v>5000</v>
      </c>
      <c r="M441" t="s">
        <v>24</v>
      </c>
      <c r="N441" s="11" t="str">
        <f>TEXT(tblSales[[#This Row],[Date]],"mmmm")</f>
        <v>September</v>
      </c>
      <c r="O441" s="11" t="str">
        <f>"Q"&amp;ROUNDUP(MONTH(tblSales[[#This Row],[Date]])/3,0)</f>
        <v>Q3</v>
      </c>
      <c r="P441" s="11">
        <f>YEAR(tblSales[[#This Row],[Date]])</f>
        <v>2024</v>
      </c>
      <c r="Q441" s="5">
        <f>tblSales[[#This Row],[Profit]]/tblSales[[#This Row],[Revenue]]</f>
        <v>0.2</v>
      </c>
      <c r="R441" s="8">
        <f>tblSales[[#This Row],[Revenue]]*1.1</f>
        <v>132000</v>
      </c>
    </row>
    <row r="442" spans="1:18">
      <c r="A442" t="s">
        <v>1202</v>
      </c>
      <c r="B442" s="7">
        <v>45564</v>
      </c>
      <c r="C442" t="s">
        <v>40</v>
      </c>
      <c r="D442" t="s">
        <v>93</v>
      </c>
      <c r="E442" t="s">
        <v>1052</v>
      </c>
      <c r="F442" t="s">
        <v>29</v>
      </c>
      <c r="G442" t="s">
        <v>1203</v>
      </c>
      <c r="H442">
        <v>300</v>
      </c>
      <c r="I442" s="8">
        <v>150000</v>
      </c>
      <c r="J442" s="8">
        <v>30000</v>
      </c>
      <c r="K442">
        <v>0</v>
      </c>
      <c r="L442" s="8">
        <v>6000</v>
      </c>
      <c r="M442" t="s">
        <v>31</v>
      </c>
      <c r="N442" s="11" t="str">
        <f>TEXT(tblSales[[#This Row],[Date]],"mmmm")</f>
        <v>September</v>
      </c>
      <c r="O442" s="11" t="str">
        <f>"Q"&amp;ROUNDUP(MONTH(tblSales[[#This Row],[Date]])/3,0)</f>
        <v>Q3</v>
      </c>
      <c r="P442" s="11">
        <f>YEAR(tblSales[[#This Row],[Date]])</f>
        <v>2024</v>
      </c>
      <c r="Q442" s="5">
        <f>tblSales[[#This Row],[Profit]]/tblSales[[#This Row],[Revenue]]</f>
        <v>0.2</v>
      </c>
      <c r="R442" s="8">
        <f>tblSales[[#This Row],[Revenue]]*1.1</f>
        <v>165000</v>
      </c>
    </row>
    <row r="443" spans="1:18">
      <c r="A443" t="s">
        <v>1204</v>
      </c>
      <c r="B443" s="7">
        <v>45564</v>
      </c>
      <c r="C443" t="s">
        <v>19</v>
      </c>
      <c r="D443" t="s">
        <v>50</v>
      </c>
      <c r="E443" t="s">
        <v>1205</v>
      </c>
      <c r="F443" t="s">
        <v>43</v>
      </c>
      <c r="G443" t="s">
        <v>1206</v>
      </c>
      <c r="H443">
        <v>100</v>
      </c>
      <c r="I443" s="8">
        <v>200000</v>
      </c>
      <c r="J443" s="8">
        <v>30000</v>
      </c>
      <c r="K443">
        <v>0</v>
      </c>
      <c r="L443" s="8">
        <v>8000</v>
      </c>
      <c r="M443" t="s">
        <v>24</v>
      </c>
      <c r="N443" s="11" t="str">
        <f>TEXT(tblSales[[#This Row],[Date]],"mmmm")</f>
        <v>September</v>
      </c>
      <c r="O443" s="11" t="str">
        <f>"Q"&amp;ROUNDUP(MONTH(tblSales[[#This Row],[Date]])/3,0)</f>
        <v>Q3</v>
      </c>
      <c r="P443" s="11">
        <f>YEAR(tblSales[[#This Row],[Date]])</f>
        <v>2024</v>
      </c>
      <c r="Q443" s="5">
        <f>tblSales[[#This Row],[Profit]]/tblSales[[#This Row],[Revenue]]</f>
        <v>0.15</v>
      </c>
      <c r="R443" s="8">
        <f>tblSales[[#This Row],[Revenue]]*1.1</f>
        <v>220000</v>
      </c>
    </row>
    <row r="444" spans="1:18">
      <c r="A444" t="s">
        <v>1207</v>
      </c>
      <c r="B444" s="7">
        <v>45565</v>
      </c>
      <c r="C444" t="s">
        <v>33</v>
      </c>
      <c r="D444" t="s">
        <v>54</v>
      </c>
      <c r="E444" t="s">
        <v>1208</v>
      </c>
      <c r="F444" t="s">
        <v>36</v>
      </c>
      <c r="G444" t="s">
        <v>1209</v>
      </c>
      <c r="H444">
        <v>200</v>
      </c>
      <c r="I444" s="8">
        <v>400000</v>
      </c>
      <c r="J444" s="8">
        <v>80000</v>
      </c>
      <c r="K444">
        <v>0</v>
      </c>
      <c r="L444" s="8">
        <v>10000</v>
      </c>
      <c r="M444" t="s">
        <v>38</v>
      </c>
      <c r="N444" s="11" t="str">
        <f>TEXT(tblSales[[#This Row],[Date]],"mmmm")</f>
        <v>September</v>
      </c>
      <c r="O444" s="11" t="str">
        <f>"Q"&amp;ROUNDUP(MONTH(tblSales[[#This Row],[Date]])/3,0)</f>
        <v>Q3</v>
      </c>
      <c r="P444" s="11">
        <f>YEAR(tblSales[[#This Row],[Date]])</f>
        <v>2024</v>
      </c>
      <c r="Q444" s="5">
        <f>tblSales[[#This Row],[Profit]]/tblSales[[#This Row],[Revenue]]</f>
        <v>0.2</v>
      </c>
      <c r="R444" s="8">
        <f>tblSales[[#This Row],[Revenue]]*1.1</f>
        <v>440000</v>
      </c>
    </row>
    <row r="445" spans="1:18">
      <c r="A445" t="s">
        <v>1210</v>
      </c>
      <c r="B445" s="7">
        <v>45565</v>
      </c>
      <c r="C445" t="s">
        <v>26</v>
      </c>
      <c r="D445" t="s">
        <v>46</v>
      </c>
      <c r="E445" t="s">
        <v>1211</v>
      </c>
      <c r="F445" t="s">
        <v>22</v>
      </c>
      <c r="G445" t="s">
        <v>1212</v>
      </c>
      <c r="H445">
        <v>150</v>
      </c>
      <c r="I445" s="8">
        <v>225000</v>
      </c>
      <c r="J445" s="8">
        <v>45000</v>
      </c>
      <c r="K445">
        <v>0</v>
      </c>
      <c r="L445" s="8">
        <v>8000</v>
      </c>
      <c r="M445" t="s">
        <v>24</v>
      </c>
      <c r="N445" s="11" t="str">
        <f>TEXT(tblSales[[#This Row],[Date]],"mmmm")</f>
        <v>September</v>
      </c>
      <c r="O445" s="11" t="str">
        <f>"Q"&amp;ROUNDUP(MONTH(tblSales[[#This Row],[Date]])/3,0)</f>
        <v>Q3</v>
      </c>
      <c r="P445" s="11">
        <f>YEAR(tblSales[[#This Row],[Date]])</f>
        <v>2024</v>
      </c>
      <c r="Q445" s="5">
        <f>tblSales[[#This Row],[Profit]]/tblSales[[#This Row],[Revenue]]</f>
        <v>0.2</v>
      </c>
      <c r="R445" s="8">
        <f>tblSales[[#This Row],[Revenue]]*1.1</f>
        <v>247500</v>
      </c>
    </row>
    <row r="446" spans="1:18">
      <c r="A446" t="s">
        <v>1213</v>
      </c>
      <c r="B446" s="7">
        <v>45566</v>
      </c>
      <c r="C446" t="s">
        <v>40</v>
      </c>
      <c r="D446" t="s">
        <v>41</v>
      </c>
      <c r="E446" t="s">
        <v>1214</v>
      </c>
      <c r="F446" t="s">
        <v>29</v>
      </c>
      <c r="G446" t="s">
        <v>1215</v>
      </c>
      <c r="H446">
        <v>400</v>
      </c>
      <c r="I446" s="8">
        <v>200000</v>
      </c>
      <c r="J446" s="8">
        <v>40000</v>
      </c>
      <c r="K446">
        <v>0</v>
      </c>
      <c r="L446" s="8">
        <v>10000</v>
      </c>
      <c r="M446" t="s">
        <v>31</v>
      </c>
      <c r="N446" s="11" t="str">
        <f>TEXT(tblSales[[#This Row],[Date]],"mmmm")</f>
        <v>October</v>
      </c>
      <c r="O446" s="11" t="str">
        <f>"Q"&amp;ROUNDUP(MONTH(tblSales[[#This Row],[Date]])/3,0)</f>
        <v>Q4</v>
      </c>
      <c r="P446" s="11">
        <f>YEAR(tblSales[[#This Row],[Date]])</f>
        <v>2024</v>
      </c>
      <c r="Q446" s="5">
        <f>tblSales[[#This Row],[Profit]]/tblSales[[#This Row],[Revenue]]</f>
        <v>0.2</v>
      </c>
      <c r="R446" s="8">
        <f>tblSales[[#This Row],[Revenue]]*1.1</f>
        <v>220000</v>
      </c>
    </row>
    <row r="447" spans="1:18">
      <c r="A447" t="s">
        <v>1216</v>
      </c>
      <c r="B447" s="7">
        <v>45566</v>
      </c>
      <c r="C447" t="s">
        <v>19</v>
      </c>
      <c r="D447" t="s">
        <v>20</v>
      </c>
      <c r="E447" t="s">
        <v>1217</v>
      </c>
      <c r="F447" t="s">
        <v>43</v>
      </c>
      <c r="G447" t="s">
        <v>1218</v>
      </c>
      <c r="H447">
        <v>30</v>
      </c>
      <c r="I447" s="8">
        <v>150000</v>
      </c>
      <c r="J447" s="8">
        <v>22500</v>
      </c>
      <c r="K447">
        <v>0</v>
      </c>
      <c r="L447" s="8">
        <v>5000</v>
      </c>
      <c r="M447" t="s">
        <v>24</v>
      </c>
      <c r="N447" s="11" t="str">
        <f>TEXT(tblSales[[#This Row],[Date]],"mmmm")</f>
        <v>October</v>
      </c>
      <c r="O447" s="11" t="str">
        <f>"Q"&amp;ROUNDUP(MONTH(tblSales[[#This Row],[Date]])/3,0)</f>
        <v>Q4</v>
      </c>
      <c r="P447" s="11">
        <f>YEAR(tblSales[[#This Row],[Date]])</f>
        <v>2024</v>
      </c>
      <c r="Q447" s="5">
        <f>tblSales[[#This Row],[Profit]]/tblSales[[#This Row],[Revenue]]</f>
        <v>0.15</v>
      </c>
      <c r="R447" s="8">
        <f>tblSales[[#This Row],[Revenue]]*1.1</f>
        <v>165000</v>
      </c>
    </row>
    <row r="448" spans="1:18">
      <c r="A448" t="s">
        <v>1219</v>
      </c>
      <c r="B448" s="7">
        <v>45567</v>
      </c>
      <c r="C448" t="s">
        <v>33</v>
      </c>
      <c r="D448" t="s">
        <v>34</v>
      </c>
      <c r="E448" t="s">
        <v>1220</v>
      </c>
      <c r="F448" t="s">
        <v>36</v>
      </c>
      <c r="G448" t="s">
        <v>1221</v>
      </c>
      <c r="H448">
        <v>600</v>
      </c>
      <c r="I448" s="8">
        <v>1800000</v>
      </c>
      <c r="J448" s="8">
        <v>360000</v>
      </c>
      <c r="K448">
        <v>0</v>
      </c>
      <c r="L448" s="8">
        <v>60000</v>
      </c>
      <c r="M448" t="s">
        <v>38</v>
      </c>
      <c r="N448" s="11" t="str">
        <f>TEXT(tblSales[[#This Row],[Date]],"mmmm")</f>
        <v>October</v>
      </c>
      <c r="O448" s="11" t="str">
        <f>"Q"&amp;ROUNDUP(MONTH(tblSales[[#This Row],[Date]])/3,0)</f>
        <v>Q4</v>
      </c>
      <c r="P448" s="11">
        <f>YEAR(tblSales[[#This Row],[Date]])</f>
        <v>2024</v>
      </c>
      <c r="Q448" s="5">
        <f>tblSales[[#This Row],[Profit]]/tblSales[[#This Row],[Revenue]]</f>
        <v>0.2</v>
      </c>
      <c r="R448" s="8">
        <f>tblSales[[#This Row],[Revenue]]*1.1</f>
        <v>1980000</v>
      </c>
    </row>
    <row r="449" spans="1:18">
      <c r="A449" t="s">
        <v>1222</v>
      </c>
      <c r="B449" s="7">
        <v>45567</v>
      </c>
      <c r="C449" t="s">
        <v>26</v>
      </c>
      <c r="D449" t="s">
        <v>27</v>
      </c>
      <c r="E449" t="s">
        <v>1223</v>
      </c>
      <c r="F449" t="s">
        <v>22</v>
      </c>
      <c r="G449" t="s">
        <v>1224</v>
      </c>
      <c r="H449">
        <v>12</v>
      </c>
      <c r="I449" s="8">
        <v>600000</v>
      </c>
      <c r="J449" s="8">
        <v>90000</v>
      </c>
      <c r="K449">
        <v>0</v>
      </c>
      <c r="L449" s="8">
        <v>15000</v>
      </c>
      <c r="M449" t="s">
        <v>24</v>
      </c>
      <c r="N449" s="11" t="str">
        <f>TEXT(tblSales[[#This Row],[Date]],"mmmm")</f>
        <v>October</v>
      </c>
      <c r="O449" s="11" t="str">
        <f>"Q"&amp;ROUNDUP(MONTH(tblSales[[#This Row],[Date]])/3,0)</f>
        <v>Q4</v>
      </c>
      <c r="P449" s="11">
        <f>YEAR(tblSales[[#This Row],[Date]])</f>
        <v>2024</v>
      </c>
      <c r="Q449" s="5">
        <f>tblSales[[#This Row],[Profit]]/tblSales[[#This Row],[Revenue]]</f>
        <v>0.15</v>
      </c>
      <c r="R449" s="8">
        <f>tblSales[[#This Row],[Revenue]]*1.1</f>
        <v>660000</v>
      </c>
    </row>
    <row r="450" spans="1:18">
      <c r="A450" t="s">
        <v>1225</v>
      </c>
      <c r="B450" s="7">
        <v>45568</v>
      </c>
      <c r="C450" t="s">
        <v>40</v>
      </c>
      <c r="D450" t="s">
        <v>126</v>
      </c>
      <c r="E450" t="s">
        <v>1226</v>
      </c>
      <c r="F450" t="s">
        <v>29</v>
      </c>
      <c r="G450" t="s">
        <v>1227</v>
      </c>
      <c r="H450">
        <v>80</v>
      </c>
      <c r="I450" s="8">
        <v>400000</v>
      </c>
      <c r="J450" s="8">
        <v>80000</v>
      </c>
      <c r="K450">
        <v>0</v>
      </c>
      <c r="L450" s="8">
        <v>12000</v>
      </c>
      <c r="M450" t="s">
        <v>31</v>
      </c>
      <c r="N450" s="11" t="str">
        <f>TEXT(tblSales[[#This Row],[Date]],"mmmm")</f>
        <v>October</v>
      </c>
      <c r="O450" s="11" t="str">
        <f>"Q"&amp;ROUNDUP(MONTH(tblSales[[#This Row],[Date]])/3,0)</f>
        <v>Q4</v>
      </c>
      <c r="P450" s="11">
        <f>YEAR(tblSales[[#This Row],[Date]])</f>
        <v>2024</v>
      </c>
      <c r="Q450" s="5">
        <f>tblSales[[#This Row],[Profit]]/tblSales[[#This Row],[Revenue]]</f>
        <v>0.2</v>
      </c>
      <c r="R450" s="8">
        <f>tblSales[[#This Row],[Revenue]]*1.1</f>
        <v>440000</v>
      </c>
    </row>
    <row r="451" spans="1:18">
      <c r="A451" t="s">
        <v>1228</v>
      </c>
      <c r="B451" s="7">
        <v>45568</v>
      </c>
      <c r="C451" t="s">
        <v>19</v>
      </c>
      <c r="D451" t="s">
        <v>113</v>
      </c>
      <c r="E451" t="s">
        <v>1229</v>
      </c>
      <c r="F451" t="s">
        <v>43</v>
      </c>
      <c r="G451" t="s">
        <v>1230</v>
      </c>
      <c r="H451">
        <v>15</v>
      </c>
      <c r="I451" s="8">
        <v>375000</v>
      </c>
      <c r="J451" s="8">
        <v>56250</v>
      </c>
      <c r="K451">
        <v>0</v>
      </c>
      <c r="L451" s="8">
        <v>10000</v>
      </c>
      <c r="M451" t="s">
        <v>24</v>
      </c>
      <c r="N451" s="11" t="str">
        <f>TEXT(tblSales[[#This Row],[Date]],"mmmm")</f>
        <v>October</v>
      </c>
      <c r="O451" s="11" t="str">
        <f>"Q"&amp;ROUNDUP(MONTH(tblSales[[#This Row],[Date]])/3,0)</f>
        <v>Q4</v>
      </c>
      <c r="P451" s="11">
        <f>YEAR(tblSales[[#This Row],[Date]])</f>
        <v>2024</v>
      </c>
      <c r="Q451" s="5">
        <f>tblSales[[#This Row],[Profit]]/tblSales[[#This Row],[Revenue]]</f>
        <v>0.15</v>
      </c>
      <c r="R451" s="8">
        <f>tblSales[[#This Row],[Revenue]]*1.1</f>
        <v>412500</v>
      </c>
    </row>
    <row r="452" spans="1:18">
      <c r="A452" t="s">
        <v>1231</v>
      </c>
      <c r="B452" s="7">
        <v>45569</v>
      </c>
      <c r="C452" t="s">
        <v>33</v>
      </c>
      <c r="D452" t="s">
        <v>54</v>
      </c>
      <c r="E452" t="s">
        <v>1232</v>
      </c>
      <c r="F452" t="s">
        <v>36</v>
      </c>
      <c r="G452" t="s">
        <v>1233</v>
      </c>
      <c r="H452">
        <v>3</v>
      </c>
      <c r="I452" s="8">
        <v>450000</v>
      </c>
      <c r="J452" s="8">
        <v>67500</v>
      </c>
      <c r="K452">
        <v>0</v>
      </c>
      <c r="L452" s="8">
        <v>15000</v>
      </c>
      <c r="M452" t="s">
        <v>38</v>
      </c>
      <c r="N452" s="11" t="str">
        <f>TEXT(tblSales[[#This Row],[Date]],"mmmm")</f>
        <v>October</v>
      </c>
      <c r="O452" s="11" t="str">
        <f>"Q"&amp;ROUNDUP(MONTH(tblSales[[#This Row],[Date]])/3,0)</f>
        <v>Q4</v>
      </c>
      <c r="P452" s="11">
        <f>YEAR(tblSales[[#This Row],[Date]])</f>
        <v>2024</v>
      </c>
      <c r="Q452" s="5">
        <f>tblSales[[#This Row],[Profit]]/tblSales[[#This Row],[Revenue]]</f>
        <v>0.15</v>
      </c>
      <c r="R452" s="8">
        <f>tblSales[[#This Row],[Revenue]]*1.1</f>
        <v>495000</v>
      </c>
    </row>
    <row r="453" spans="1:18">
      <c r="A453" t="s">
        <v>1234</v>
      </c>
      <c r="B453" s="7">
        <v>45569</v>
      </c>
      <c r="C453" t="s">
        <v>26</v>
      </c>
      <c r="D453" t="s">
        <v>71</v>
      </c>
      <c r="E453" t="s">
        <v>1235</v>
      </c>
      <c r="F453" t="s">
        <v>22</v>
      </c>
      <c r="G453" t="s">
        <v>1236</v>
      </c>
      <c r="H453">
        <v>80</v>
      </c>
      <c r="I453" s="8">
        <v>320000</v>
      </c>
      <c r="J453" s="8">
        <v>64000</v>
      </c>
      <c r="K453">
        <v>0</v>
      </c>
      <c r="L453" s="8">
        <v>10000</v>
      </c>
      <c r="M453" t="s">
        <v>24</v>
      </c>
      <c r="N453" s="11" t="str">
        <f>TEXT(tblSales[[#This Row],[Date]],"mmmm")</f>
        <v>October</v>
      </c>
      <c r="O453" s="11" t="str">
        <f>"Q"&amp;ROUNDUP(MONTH(tblSales[[#This Row],[Date]])/3,0)</f>
        <v>Q4</v>
      </c>
      <c r="P453" s="11">
        <f>YEAR(tblSales[[#This Row],[Date]])</f>
        <v>2024</v>
      </c>
      <c r="Q453" s="5">
        <f>tblSales[[#This Row],[Profit]]/tblSales[[#This Row],[Revenue]]</f>
        <v>0.2</v>
      </c>
      <c r="R453" s="8">
        <f>tblSales[[#This Row],[Revenue]]*1.1</f>
        <v>352000</v>
      </c>
    </row>
    <row r="454" spans="1:18">
      <c r="A454" t="s">
        <v>1237</v>
      </c>
      <c r="B454" s="7">
        <v>45570</v>
      </c>
      <c r="C454" t="s">
        <v>40</v>
      </c>
      <c r="D454" t="s">
        <v>41</v>
      </c>
      <c r="E454" t="s">
        <v>1238</v>
      </c>
      <c r="F454" t="s">
        <v>29</v>
      </c>
      <c r="G454" t="s">
        <v>1239</v>
      </c>
      <c r="H454">
        <v>150</v>
      </c>
      <c r="I454" s="8">
        <v>75000</v>
      </c>
      <c r="J454" s="8">
        <v>15000</v>
      </c>
      <c r="K454">
        <v>0</v>
      </c>
      <c r="L454" s="8">
        <v>3000</v>
      </c>
      <c r="M454" t="s">
        <v>31</v>
      </c>
      <c r="N454" s="11" t="str">
        <f>TEXT(tblSales[[#This Row],[Date]],"mmmm")</f>
        <v>October</v>
      </c>
      <c r="O454" s="11" t="str">
        <f>"Q"&amp;ROUNDUP(MONTH(tblSales[[#This Row],[Date]])/3,0)</f>
        <v>Q4</v>
      </c>
      <c r="P454" s="11">
        <f>YEAR(tblSales[[#This Row],[Date]])</f>
        <v>2024</v>
      </c>
      <c r="Q454" s="5">
        <f>tblSales[[#This Row],[Profit]]/tblSales[[#This Row],[Revenue]]</f>
        <v>0.2</v>
      </c>
      <c r="R454" s="8">
        <f>tblSales[[#This Row],[Revenue]]*1.1</f>
        <v>82500</v>
      </c>
    </row>
    <row r="455" spans="1:18">
      <c r="A455" t="s">
        <v>1240</v>
      </c>
      <c r="B455" s="7">
        <v>45570</v>
      </c>
      <c r="C455" t="s">
        <v>19</v>
      </c>
      <c r="D455" t="s">
        <v>50</v>
      </c>
      <c r="E455" t="s">
        <v>1241</v>
      </c>
      <c r="F455" t="s">
        <v>43</v>
      </c>
      <c r="G455" t="s">
        <v>1242</v>
      </c>
      <c r="H455">
        <v>20</v>
      </c>
      <c r="I455" s="8">
        <v>200000</v>
      </c>
      <c r="J455" s="8">
        <v>30000</v>
      </c>
      <c r="K455">
        <v>0</v>
      </c>
      <c r="L455" s="8">
        <v>8000</v>
      </c>
      <c r="M455" t="s">
        <v>24</v>
      </c>
      <c r="N455" s="11" t="str">
        <f>TEXT(tblSales[[#This Row],[Date]],"mmmm")</f>
        <v>October</v>
      </c>
      <c r="O455" s="11" t="str">
        <f>"Q"&amp;ROUNDUP(MONTH(tblSales[[#This Row],[Date]])/3,0)</f>
        <v>Q4</v>
      </c>
      <c r="P455" s="11">
        <f>YEAR(tblSales[[#This Row],[Date]])</f>
        <v>2024</v>
      </c>
      <c r="Q455" s="5">
        <f>tblSales[[#This Row],[Profit]]/tblSales[[#This Row],[Revenue]]</f>
        <v>0.15</v>
      </c>
      <c r="R455" s="8">
        <f>tblSales[[#This Row],[Revenue]]*1.1</f>
        <v>220000</v>
      </c>
    </row>
    <row r="456" spans="1:18">
      <c r="A456" t="s">
        <v>1243</v>
      </c>
      <c r="B456" s="7">
        <v>45571</v>
      </c>
      <c r="C456" t="s">
        <v>33</v>
      </c>
      <c r="D456" t="s">
        <v>34</v>
      </c>
      <c r="E456" t="s">
        <v>1244</v>
      </c>
      <c r="F456" t="s">
        <v>36</v>
      </c>
      <c r="G456" t="s">
        <v>1245</v>
      </c>
      <c r="H456">
        <v>2</v>
      </c>
      <c r="I456" s="8">
        <v>300000</v>
      </c>
      <c r="J456" s="8">
        <v>45000</v>
      </c>
      <c r="K456">
        <v>0</v>
      </c>
      <c r="L456" s="8">
        <v>10000</v>
      </c>
      <c r="M456" t="s">
        <v>38</v>
      </c>
      <c r="N456" s="11" t="str">
        <f>TEXT(tblSales[[#This Row],[Date]],"mmmm")</f>
        <v>October</v>
      </c>
      <c r="O456" s="11" t="str">
        <f>"Q"&amp;ROUNDUP(MONTH(tblSales[[#This Row],[Date]])/3,0)</f>
        <v>Q4</v>
      </c>
      <c r="P456" s="11">
        <f>YEAR(tblSales[[#This Row],[Date]])</f>
        <v>2024</v>
      </c>
      <c r="Q456" s="5">
        <f>tblSales[[#This Row],[Profit]]/tblSales[[#This Row],[Revenue]]</f>
        <v>0.15</v>
      </c>
      <c r="R456" s="8">
        <f>tblSales[[#This Row],[Revenue]]*1.1</f>
        <v>330000</v>
      </c>
    </row>
    <row r="457" spans="1:18">
      <c r="A457" t="s">
        <v>1246</v>
      </c>
      <c r="B457" s="7">
        <v>45571</v>
      </c>
      <c r="C457" t="s">
        <v>26</v>
      </c>
      <c r="D457" t="s">
        <v>27</v>
      </c>
      <c r="E457" t="s">
        <v>1247</v>
      </c>
      <c r="F457" t="s">
        <v>22</v>
      </c>
      <c r="G457" t="s">
        <v>1248</v>
      </c>
      <c r="H457">
        <v>90</v>
      </c>
      <c r="I457" s="8">
        <v>180000</v>
      </c>
      <c r="J457" s="8">
        <v>36000</v>
      </c>
      <c r="K457">
        <v>0</v>
      </c>
      <c r="L457" s="8">
        <v>6000</v>
      </c>
      <c r="M457" t="s">
        <v>24</v>
      </c>
      <c r="N457" s="11" t="str">
        <f>TEXT(tblSales[[#This Row],[Date]],"mmmm")</f>
        <v>October</v>
      </c>
      <c r="O457" s="11" t="str">
        <f>"Q"&amp;ROUNDUP(MONTH(tblSales[[#This Row],[Date]])/3,0)</f>
        <v>Q4</v>
      </c>
      <c r="P457" s="11">
        <f>YEAR(tblSales[[#This Row],[Date]])</f>
        <v>2024</v>
      </c>
      <c r="Q457" s="5">
        <f>tblSales[[#This Row],[Profit]]/tblSales[[#This Row],[Revenue]]</f>
        <v>0.2</v>
      </c>
      <c r="R457" s="8">
        <f>tblSales[[#This Row],[Revenue]]*1.1</f>
        <v>198000</v>
      </c>
    </row>
    <row r="458" spans="1:18">
      <c r="A458" t="s">
        <v>1249</v>
      </c>
      <c r="B458" s="7">
        <v>45572</v>
      </c>
      <c r="C458" t="s">
        <v>40</v>
      </c>
      <c r="D458" t="s">
        <v>93</v>
      </c>
      <c r="E458" t="s">
        <v>1250</v>
      </c>
      <c r="F458" t="s">
        <v>29</v>
      </c>
      <c r="G458" t="s">
        <v>1251</v>
      </c>
      <c r="H458">
        <v>40</v>
      </c>
      <c r="I458" s="8">
        <v>80000</v>
      </c>
      <c r="J458" s="8">
        <v>16000</v>
      </c>
      <c r="K458">
        <v>0</v>
      </c>
      <c r="L458" s="8">
        <v>2000</v>
      </c>
      <c r="M458" t="s">
        <v>31</v>
      </c>
      <c r="N458" s="11" t="str">
        <f>TEXT(tblSales[[#This Row],[Date]],"mmmm")</f>
        <v>October</v>
      </c>
      <c r="O458" s="11" t="str">
        <f>"Q"&amp;ROUNDUP(MONTH(tblSales[[#This Row],[Date]])/3,0)</f>
        <v>Q4</v>
      </c>
      <c r="P458" s="11">
        <f>YEAR(tblSales[[#This Row],[Date]])</f>
        <v>2024</v>
      </c>
      <c r="Q458" s="5">
        <f>tblSales[[#This Row],[Profit]]/tblSales[[#This Row],[Revenue]]</f>
        <v>0.2</v>
      </c>
      <c r="R458" s="8">
        <f>tblSales[[#This Row],[Revenue]]*1.1</f>
        <v>88000</v>
      </c>
    </row>
    <row r="459" spans="1:18">
      <c r="A459" t="s">
        <v>1252</v>
      </c>
      <c r="B459" s="7">
        <v>45572</v>
      </c>
      <c r="C459" t="s">
        <v>19</v>
      </c>
      <c r="D459" t="s">
        <v>20</v>
      </c>
      <c r="E459" t="s">
        <v>1253</v>
      </c>
      <c r="F459" t="s">
        <v>43</v>
      </c>
      <c r="G459" t="s">
        <v>1254</v>
      </c>
      <c r="H459">
        <v>120</v>
      </c>
      <c r="I459" s="8">
        <v>60000</v>
      </c>
      <c r="J459" s="8">
        <v>9000</v>
      </c>
      <c r="K459">
        <v>0</v>
      </c>
      <c r="L459" s="8">
        <v>2000</v>
      </c>
      <c r="M459" t="s">
        <v>24</v>
      </c>
      <c r="N459" s="11" t="str">
        <f>TEXT(tblSales[[#This Row],[Date]],"mmmm")</f>
        <v>October</v>
      </c>
      <c r="O459" s="11" t="str">
        <f>"Q"&amp;ROUNDUP(MONTH(tblSales[[#This Row],[Date]])/3,0)</f>
        <v>Q4</v>
      </c>
      <c r="P459" s="11">
        <f>YEAR(tblSales[[#This Row],[Date]])</f>
        <v>2024</v>
      </c>
      <c r="Q459" s="5">
        <f>tblSales[[#This Row],[Profit]]/tblSales[[#This Row],[Revenue]]</f>
        <v>0.15</v>
      </c>
      <c r="R459" s="8">
        <f>tblSales[[#This Row],[Revenue]]*1.1</f>
        <v>66000</v>
      </c>
    </row>
    <row r="460" spans="1:18">
      <c r="A460" t="s">
        <v>1255</v>
      </c>
      <c r="B460" s="7">
        <v>45573</v>
      </c>
      <c r="C460" t="s">
        <v>33</v>
      </c>
      <c r="D460" t="s">
        <v>54</v>
      </c>
      <c r="E460" t="s">
        <v>1256</v>
      </c>
      <c r="F460" t="s">
        <v>36</v>
      </c>
      <c r="G460" t="s">
        <v>1257</v>
      </c>
      <c r="H460">
        <v>50</v>
      </c>
      <c r="I460" s="8">
        <v>250000</v>
      </c>
      <c r="J460" s="8">
        <v>50000</v>
      </c>
      <c r="K460">
        <v>0</v>
      </c>
      <c r="L460" s="8">
        <v>8000</v>
      </c>
      <c r="M460" t="s">
        <v>38</v>
      </c>
      <c r="N460" s="11" t="str">
        <f>TEXT(tblSales[[#This Row],[Date]],"mmmm")</f>
        <v>October</v>
      </c>
      <c r="O460" s="11" t="str">
        <f>"Q"&amp;ROUNDUP(MONTH(tblSales[[#This Row],[Date]])/3,0)</f>
        <v>Q4</v>
      </c>
      <c r="P460" s="11">
        <f>YEAR(tblSales[[#This Row],[Date]])</f>
        <v>2024</v>
      </c>
      <c r="Q460" s="5">
        <f>tblSales[[#This Row],[Profit]]/tblSales[[#This Row],[Revenue]]</f>
        <v>0.2</v>
      </c>
      <c r="R460" s="8">
        <f>tblSales[[#This Row],[Revenue]]*1.1</f>
        <v>275000</v>
      </c>
    </row>
    <row r="461" spans="1:18">
      <c r="A461" t="s">
        <v>1258</v>
      </c>
      <c r="B461" s="7">
        <v>45573</v>
      </c>
      <c r="C461" t="s">
        <v>26</v>
      </c>
      <c r="D461" t="s">
        <v>46</v>
      </c>
      <c r="E461" t="s">
        <v>1259</v>
      </c>
      <c r="F461" t="s">
        <v>22</v>
      </c>
      <c r="G461" t="s">
        <v>1260</v>
      </c>
      <c r="H461">
        <v>60</v>
      </c>
      <c r="I461" s="8">
        <v>180000</v>
      </c>
      <c r="J461" s="8">
        <v>36000</v>
      </c>
      <c r="K461">
        <v>0</v>
      </c>
      <c r="L461" s="8">
        <v>6000</v>
      </c>
      <c r="M461" t="s">
        <v>24</v>
      </c>
      <c r="N461" s="11" t="str">
        <f>TEXT(tblSales[[#This Row],[Date]],"mmmm")</f>
        <v>October</v>
      </c>
      <c r="O461" s="11" t="str">
        <f>"Q"&amp;ROUNDUP(MONTH(tblSales[[#This Row],[Date]])/3,0)</f>
        <v>Q4</v>
      </c>
      <c r="P461" s="11">
        <f>YEAR(tblSales[[#This Row],[Date]])</f>
        <v>2024</v>
      </c>
      <c r="Q461" s="5">
        <f>tblSales[[#This Row],[Profit]]/tblSales[[#This Row],[Revenue]]</f>
        <v>0.2</v>
      </c>
      <c r="R461" s="8">
        <f>tblSales[[#This Row],[Revenue]]*1.1</f>
        <v>198000</v>
      </c>
    </row>
    <row r="462" spans="1:18">
      <c r="A462" t="s">
        <v>1261</v>
      </c>
      <c r="B462" s="7">
        <v>45574</v>
      </c>
      <c r="C462" t="s">
        <v>40</v>
      </c>
      <c r="D462" t="s">
        <v>41</v>
      </c>
      <c r="E462" t="s">
        <v>1262</v>
      </c>
      <c r="F462" t="s">
        <v>29</v>
      </c>
      <c r="G462" t="s">
        <v>1263</v>
      </c>
      <c r="H462">
        <v>20</v>
      </c>
      <c r="I462" s="8">
        <v>300000</v>
      </c>
      <c r="J462" s="8">
        <v>60000</v>
      </c>
      <c r="K462">
        <v>0</v>
      </c>
      <c r="L462" s="8">
        <v>10000</v>
      </c>
      <c r="M462" t="s">
        <v>31</v>
      </c>
      <c r="N462" s="11" t="str">
        <f>TEXT(tblSales[[#This Row],[Date]],"mmmm")</f>
        <v>October</v>
      </c>
      <c r="O462" s="11" t="str">
        <f>"Q"&amp;ROUNDUP(MONTH(tblSales[[#This Row],[Date]])/3,0)</f>
        <v>Q4</v>
      </c>
      <c r="P462" s="11">
        <f>YEAR(tblSales[[#This Row],[Date]])</f>
        <v>2024</v>
      </c>
      <c r="Q462" s="5">
        <f>tblSales[[#This Row],[Profit]]/tblSales[[#This Row],[Revenue]]</f>
        <v>0.2</v>
      </c>
      <c r="R462" s="8">
        <f>tblSales[[#This Row],[Revenue]]*1.1</f>
        <v>330000</v>
      </c>
    </row>
    <row r="463" spans="1:18">
      <c r="A463" t="s">
        <v>1264</v>
      </c>
      <c r="B463" s="7">
        <v>45574</v>
      </c>
      <c r="C463" t="s">
        <v>19</v>
      </c>
      <c r="D463" t="s">
        <v>100</v>
      </c>
      <c r="E463" t="s">
        <v>1265</v>
      </c>
      <c r="F463" t="s">
        <v>43</v>
      </c>
      <c r="G463" t="s">
        <v>1266</v>
      </c>
      <c r="H463">
        <v>25</v>
      </c>
      <c r="I463" s="8">
        <v>125000</v>
      </c>
      <c r="J463" s="8">
        <v>18750</v>
      </c>
      <c r="K463">
        <v>0</v>
      </c>
      <c r="L463" s="8">
        <v>4000</v>
      </c>
      <c r="M463" t="s">
        <v>24</v>
      </c>
      <c r="N463" s="11" t="str">
        <f>TEXT(tblSales[[#This Row],[Date]],"mmmm")</f>
        <v>October</v>
      </c>
      <c r="O463" s="11" t="str">
        <f>"Q"&amp;ROUNDUP(MONTH(tblSales[[#This Row],[Date]])/3,0)</f>
        <v>Q4</v>
      </c>
      <c r="P463" s="11">
        <f>YEAR(tblSales[[#This Row],[Date]])</f>
        <v>2024</v>
      </c>
      <c r="Q463" s="5">
        <f>tblSales[[#This Row],[Profit]]/tblSales[[#This Row],[Revenue]]</f>
        <v>0.15</v>
      </c>
      <c r="R463" s="8">
        <f>tblSales[[#This Row],[Revenue]]*1.1</f>
        <v>137500</v>
      </c>
    </row>
    <row r="464" spans="1:18">
      <c r="A464" t="s">
        <v>1267</v>
      </c>
      <c r="B464" s="7">
        <v>45575</v>
      </c>
      <c r="C464" t="s">
        <v>33</v>
      </c>
      <c r="D464" t="s">
        <v>34</v>
      </c>
      <c r="E464" t="s">
        <v>1268</v>
      </c>
      <c r="F464" t="s">
        <v>36</v>
      </c>
      <c r="G464" t="s">
        <v>1269</v>
      </c>
      <c r="H464">
        <v>4</v>
      </c>
      <c r="I464" s="8">
        <v>200000</v>
      </c>
      <c r="J464" s="8">
        <v>30000</v>
      </c>
      <c r="K464">
        <v>0</v>
      </c>
      <c r="L464" s="8">
        <v>8000</v>
      </c>
      <c r="M464" t="s">
        <v>38</v>
      </c>
      <c r="N464" s="11" t="str">
        <f>TEXT(tblSales[[#This Row],[Date]],"mmmm")</f>
        <v>October</v>
      </c>
      <c r="O464" s="11" t="str">
        <f>"Q"&amp;ROUNDUP(MONTH(tblSales[[#This Row],[Date]])/3,0)</f>
        <v>Q4</v>
      </c>
      <c r="P464" s="11">
        <f>YEAR(tblSales[[#This Row],[Date]])</f>
        <v>2024</v>
      </c>
      <c r="Q464" s="5">
        <f>tblSales[[#This Row],[Profit]]/tblSales[[#This Row],[Revenue]]</f>
        <v>0.15</v>
      </c>
      <c r="R464" s="8">
        <f>tblSales[[#This Row],[Revenue]]*1.1</f>
        <v>220000</v>
      </c>
    </row>
    <row r="465" spans="1:18">
      <c r="A465" t="s">
        <v>1270</v>
      </c>
      <c r="B465" s="7">
        <v>45575</v>
      </c>
      <c r="C465" t="s">
        <v>26</v>
      </c>
      <c r="D465" t="s">
        <v>27</v>
      </c>
      <c r="E465" t="s">
        <v>1271</v>
      </c>
      <c r="F465" t="s">
        <v>22</v>
      </c>
      <c r="G465" t="s">
        <v>1272</v>
      </c>
      <c r="H465">
        <v>200</v>
      </c>
      <c r="I465" s="8">
        <v>400000</v>
      </c>
      <c r="J465" s="8">
        <v>80000</v>
      </c>
      <c r="K465">
        <v>0</v>
      </c>
      <c r="L465" s="8">
        <v>12000</v>
      </c>
      <c r="M465" t="s">
        <v>24</v>
      </c>
      <c r="N465" s="11" t="str">
        <f>TEXT(tblSales[[#This Row],[Date]],"mmmm")</f>
        <v>October</v>
      </c>
      <c r="O465" s="11" t="str">
        <f>"Q"&amp;ROUNDUP(MONTH(tblSales[[#This Row],[Date]])/3,0)</f>
        <v>Q4</v>
      </c>
      <c r="P465" s="11">
        <f>YEAR(tblSales[[#This Row],[Date]])</f>
        <v>2024</v>
      </c>
      <c r="Q465" s="5">
        <f>tblSales[[#This Row],[Profit]]/tblSales[[#This Row],[Revenue]]</f>
        <v>0.2</v>
      </c>
      <c r="R465" s="8">
        <f>tblSales[[#This Row],[Revenue]]*1.1</f>
        <v>440000</v>
      </c>
    </row>
    <row r="466" spans="1:18">
      <c r="A466" t="s">
        <v>1273</v>
      </c>
      <c r="B466" s="7">
        <v>45576</v>
      </c>
      <c r="C466" t="s">
        <v>40</v>
      </c>
      <c r="D466" t="s">
        <v>126</v>
      </c>
      <c r="E466" t="s">
        <v>1274</v>
      </c>
      <c r="F466" t="s">
        <v>29</v>
      </c>
      <c r="G466" t="s">
        <v>1275</v>
      </c>
      <c r="H466">
        <v>100</v>
      </c>
      <c r="I466" s="8">
        <v>200000</v>
      </c>
      <c r="J466" s="8">
        <v>40000</v>
      </c>
      <c r="K466">
        <v>0</v>
      </c>
      <c r="L466" s="8">
        <v>6000</v>
      </c>
      <c r="M466" t="s">
        <v>31</v>
      </c>
      <c r="N466" s="11" t="str">
        <f>TEXT(tblSales[[#This Row],[Date]],"mmmm")</f>
        <v>October</v>
      </c>
      <c r="O466" s="11" t="str">
        <f>"Q"&amp;ROUNDUP(MONTH(tblSales[[#This Row],[Date]])/3,0)</f>
        <v>Q4</v>
      </c>
      <c r="P466" s="11">
        <f>YEAR(tblSales[[#This Row],[Date]])</f>
        <v>2024</v>
      </c>
      <c r="Q466" s="5">
        <f>tblSales[[#This Row],[Profit]]/tblSales[[#This Row],[Revenue]]</f>
        <v>0.2</v>
      </c>
      <c r="R466" s="8">
        <f>tblSales[[#This Row],[Revenue]]*1.1</f>
        <v>220000</v>
      </c>
    </row>
    <row r="467" spans="1:18">
      <c r="A467" t="s">
        <v>1276</v>
      </c>
      <c r="B467" s="7">
        <v>45576</v>
      </c>
      <c r="C467" t="s">
        <v>19</v>
      </c>
      <c r="D467" t="s">
        <v>50</v>
      </c>
      <c r="E467" t="s">
        <v>959</v>
      </c>
      <c r="F467" t="s">
        <v>43</v>
      </c>
      <c r="G467" t="s">
        <v>1277</v>
      </c>
      <c r="H467">
        <v>150</v>
      </c>
      <c r="I467" s="8">
        <v>75000</v>
      </c>
      <c r="J467" s="8">
        <v>11250</v>
      </c>
      <c r="K467">
        <v>0</v>
      </c>
      <c r="L467" s="8">
        <v>3000</v>
      </c>
      <c r="M467" t="s">
        <v>24</v>
      </c>
      <c r="N467" s="11" t="str">
        <f>TEXT(tblSales[[#This Row],[Date]],"mmmm")</f>
        <v>October</v>
      </c>
      <c r="O467" s="11" t="str">
        <f>"Q"&amp;ROUNDUP(MONTH(tblSales[[#This Row],[Date]])/3,0)</f>
        <v>Q4</v>
      </c>
      <c r="P467" s="11">
        <f>YEAR(tblSales[[#This Row],[Date]])</f>
        <v>2024</v>
      </c>
      <c r="Q467" s="5">
        <f>tblSales[[#This Row],[Profit]]/tblSales[[#This Row],[Revenue]]</f>
        <v>0.15</v>
      </c>
      <c r="R467" s="8">
        <f>tblSales[[#This Row],[Revenue]]*1.1</f>
        <v>82500</v>
      </c>
    </row>
    <row r="468" spans="1:18">
      <c r="A468" t="s">
        <v>1278</v>
      </c>
      <c r="B468" s="7">
        <v>45577</v>
      </c>
      <c r="C468" t="s">
        <v>33</v>
      </c>
      <c r="D468" t="s">
        <v>54</v>
      </c>
      <c r="E468" t="s">
        <v>1279</v>
      </c>
      <c r="F468" t="s">
        <v>36</v>
      </c>
      <c r="G468" t="s">
        <v>1280</v>
      </c>
      <c r="H468">
        <v>8</v>
      </c>
      <c r="I468" s="8">
        <v>160000</v>
      </c>
      <c r="J468" s="8">
        <v>24000</v>
      </c>
      <c r="K468">
        <v>0</v>
      </c>
      <c r="L468" s="8">
        <v>5000</v>
      </c>
      <c r="M468" t="s">
        <v>38</v>
      </c>
      <c r="N468" s="11" t="str">
        <f>TEXT(tblSales[[#This Row],[Date]],"mmmm")</f>
        <v>October</v>
      </c>
      <c r="O468" s="11" t="str">
        <f>"Q"&amp;ROUNDUP(MONTH(tblSales[[#This Row],[Date]])/3,0)</f>
        <v>Q4</v>
      </c>
      <c r="P468" s="11">
        <f>YEAR(tblSales[[#This Row],[Date]])</f>
        <v>2024</v>
      </c>
      <c r="Q468" s="5">
        <f>tblSales[[#This Row],[Profit]]/tblSales[[#This Row],[Revenue]]</f>
        <v>0.15</v>
      </c>
      <c r="R468" s="8">
        <f>tblSales[[#This Row],[Revenue]]*1.1</f>
        <v>176000</v>
      </c>
    </row>
    <row r="469" spans="1:18">
      <c r="A469" t="s">
        <v>1281</v>
      </c>
      <c r="B469" s="7">
        <v>45577</v>
      </c>
      <c r="C469" t="s">
        <v>26</v>
      </c>
      <c r="D469" t="s">
        <v>71</v>
      </c>
      <c r="E469" t="s">
        <v>1282</v>
      </c>
      <c r="F469" t="s">
        <v>22</v>
      </c>
      <c r="G469" t="s">
        <v>1283</v>
      </c>
      <c r="H469">
        <v>70</v>
      </c>
      <c r="I469" s="8">
        <v>140000</v>
      </c>
      <c r="J469" s="8">
        <v>28000</v>
      </c>
      <c r="K469">
        <v>0</v>
      </c>
      <c r="L469" s="8">
        <v>4000</v>
      </c>
      <c r="M469" t="s">
        <v>24</v>
      </c>
      <c r="N469" s="11" t="str">
        <f>TEXT(tblSales[[#This Row],[Date]],"mmmm")</f>
        <v>October</v>
      </c>
      <c r="O469" s="11" t="str">
        <f>"Q"&amp;ROUNDUP(MONTH(tblSales[[#This Row],[Date]])/3,0)</f>
        <v>Q4</v>
      </c>
      <c r="P469" s="11">
        <f>YEAR(tblSales[[#This Row],[Date]])</f>
        <v>2024</v>
      </c>
      <c r="Q469" s="5">
        <f>tblSales[[#This Row],[Profit]]/tblSales[[#This Row],[Revenue]]</f>
        <v>0.2</v>
      </c>
      <c r="R469" s="8">
        <f>tblSales[[#This Row],[Revenue]]*1.1</f>
        <v>154000</v>
      </c>
    </row>
    <row r="470" spans="1:18">
      <c r="A470" t="s">
        <v>1284</v>
      </c>
      <c r="B470" s="7">
        <v>45578</v>
      </c>
      <c r="C470" t="s">
        <v>40</v>
      </c>
      <c r="D470" t="s">
        <v>41</v>
      </c>
      <c r="E470" t="s">
        <v>1285</v>
      </c>
      <c r="F470" t="s">
        <v>29</v>
      </c>
      <c r="G470" t="s">
        <v>1286</v>
      </c>
      <c r="H470">
        <v>90</v>
      </c>
      <c r="I470" s="8">
        <v>135000</v>
      </c>
      <c r="J470" s="8">
        <v>27000</v>
      </c>
      <c r="K470">
        <v>0</v>
      </c>
      <c r="L470" s="8">
        <v>5000</v>
      </c>
      <c r="M470" t="s">
        <v>31</v>
      </c>
      <c r="N470" s="11" t="str">
        <f>TEXT(tblSales[[#This Row],[Date]],"mmmm")</f>
        <v>October</v>
      </c>
      <c r="O470" s="11" t="str">
        <f>"Q"&amp;ROUNDUP(MONTH(tblSales[[#This Row],[Date]])/3,0)</f>
        <v>Q4</v>
      </c>
      <c r="P470" s="11">
        <f>YEAR(tblSales[[#This Row],[Date]])</f>
        <v>2024</v>
      </c>
      <c r="Q470" s="5">
        <f>tblSales[[#This Row],[Profit]]/tblSales[[#This Row],[Revenue]]</f>
        <v>0.2</v>
      </c>
      <c r="R470" s="8">
        <f>tblSales[[#This Row],[Revenue]]*1.1</f>
        <v>148500</v>
      </c>
    </row>
    <row r="471" spans="1:18">
      <c r="A471" t="s">
        <v>1287</v>
      </c>
      <c r="B471" s="7">
        <v>45578</v>
      </c>
      <c r="C471" t="s">
        <v>19</v>
      </c>
      <c r="D471" t="s">
        <v>20</v>
      </c>
      <c r="E471" t="s">
        <v>1288</v>
      </c>
      <c r="F471" t="s">
        <v>43</v>
      </c>
      <c r="G471" t="s">
        <v>1289</v>
      </c>
      <c r="H471">
        <v>15</v>
      </c>
      <c r="I471" s="8">
        <v>75000</v>
      </c>
      <c r="J471" s="8">
        <v>11250</v>
      </c>
      <c r="K471">
        <v>0</v>
      </c>
      <c r="L471" s="8">
        <v>3000</v>
      </c>
      <c r="M471" t="s">
        <v>24</v>
      </c>
      <c r="N471" s="11" t="str">
        <f>TEXT(tblSales[[#This Row],[Date]],"mmmm")</f>
        <v>October</v>
      </c>
      <c r="O471" s="11" t="str">
        <f>"Q"&amp;ROUNDUP(MONTH(tblSales[[#This Row],[Date]])/3,0)</f>
        <v>Q4</v>
      </c>
      <c r="P471" s="11">
        <f>YEAR(tblSales[[#This Row],[Date]])</f>
        <v>2024</v>
      </c>
      <c r="Q471" s="5">
        <f>tblSales[[#This Row],[Profit]]/tblSales[[#This Row],[Revenue]]</f>
        <v>0.15</v>
      </c>
      <c r="R471" s="8">
        <f>tblSales[[#This Row],[Revenue]]*1.1</f>
        <v>82500</v>
      </c>
    </row>
    <row r="472" spans="1:18">
      <c r="A472" t="s">
        <v>1290</v>
      </c>
      <c r="B472" s="7">
        <v>45579</v>
      </c>
      <c r="C472" t="s">
        <v>33</v>
      </c>
      <c r="D472" t="s">
        <v>34</v>
      </c>
      <c r="E472" t="s">
        <v>1069</v>
      </c>
      <c r="F472" t="s">
        <v>36</v>
      </c>
      <c r="G472" t="s">
        <v>1291</v>
      </c>
      <c r="H472">
        <v>5</v>
      </c>
      <c r="I472" s="8">
        <v>125000</v>
      </c>
      <c r="J472" s="8">
        <v>18750</v>
      </c>
      <c r="K472">
        <v>0</v>
      </c>
      <c r="L472" s="8">
        <v>5000</v>
      </c>
      <c r="M472" t="s">
        <v>38</v>
      </c>
      <c r="N472" s="11" t="str">
        <f>TEXT(tblSales[[#This Row],[Date]],"mmmm")</f>
        <v>October</v>
      </c>
      <c r="O472" s="11" t="str">
        <f>"Q"&amp;ROUNDUP(MONTH(tblSales[[#This Row],[Date]])/3,0)</f>
        <v>Q4</v>
      </c>
      <c r="P472" s="11">
        <f>YEAR(tblSales[[#This Row],[Date]])</f>
        <v>2024</v>
      </c>
      <c r="Q472" s="5">
        <f>tblSales[[#This Row],[Profit]]/tblSales[[#This Row],[Revenue]]</f>
        <v>0.15</v>
      </c>
      <c r="R472" s="8">
        <f>tblSales[[#This Row],[Revenue]]*1.1</f>
        <v>137500</v>
      </c>
    </row>
    <row r="473" spans="1:18">
      <c r="A473" t="s">
        <v>1292</v>
      </c>
      <c r="B473" s="7">
        <v>45579</v>
      </c>
      <c r="C473" t="s">
        <v>26</v>
      </c>
      <c r="D473" t="s">
        <v>27</v>
      </c>
      <c r="E473" t="s">
        <v>1293</v>
      </c>
      <c r="F473" t="s">
        <v>22</v>
      </c>
      <c r="G473" t="s">
        <v>1294</v>
      </c>
      <c r="H473">
        <v>40</v>
      </c>
      <c r="I473" s="8">
        <v>200000</v>
      </c>
      <c r="J473" s="8">
        <v>40000</v>
      </c>
      <c r="K473">
        <v>0</v>
      </c>
      <c r="L473" s="8">
        <v>6000</v>
      </c>
      <c r="M473" t="s">
        <v>24</v>
      </c>
      <c r="N473" s="11" t="str">
        <f>TEXT(tblSales[[#This Row],[Date]],"mmmm")</f>
        <v>October</v>
      </c>
      <c r="O473" s="11" t="str">
        <f>"Q"&amp;ROUNDUP(MONTH(tblSales[[#This Row],[Date]])/3,0)</f>
        <v>Q4</v>
      </c>
      <c r="P473" s="11">
        <f>YEAR(tblSales[[#This Row],[Date]])</f>
        <v>2024</v>
      </c>
      <c r="Q473" s="5">
        <f>tblSales[[#This Row],[Profit]]/tblSales[[#This Row],[Revenue]]</f>
        <v>0.2</v>
      </c>
      <c r="R473" s="8">
        <f>tblSales[[#This Row],[Revenue]]*1.1</f>
        <v>220000</v>
      </c>
    </row>
    <row r="474" spans="1:18">
      <c r="A474" t="s">
        <v>1295</v>
      </c>
      <c r="B474" s="7">
        <v>45580</v>
      </c>
      <c r="C474" t="s">
        <v>40</v>
      </c>
      <c r="D474" t="s">
        <v>93</v>
      </c>
      <c r="E474" t="s">
        <v>1296</v>
      </c>
      <c r="F474" t="s">
        <v>29</v>
      </c>
      <c r="G474" t="s">
        <v>1297</v>
      </c>
      <c r="H474">
        <v>25</v>
      </c>
      <c r="I474" s="8">
        <v>250000</v>
      </c>
      <c r="J474" s="8">
        <v>50000</v>
      </c>
      <c r="K474">
        <v>0</v>
      </c>
      <c r="L474" s="8">
        <v>8000</v>
      </c>
      <c r="M474" t="s">
        <v>31</v>
      </c>
      <c r="N474" s="11" t="str">
        <f>TEXT(tblSales[[#This Row],[Date]],"mmmm")</f>
        <v>October</v>
      </c>
      <c r="O474" s="11" t="str">
        <f>"Q"&amp;ROUNDUP(MONTH(tblSales[[#This Row],[Date]])/3,0)</f>
        <v>Q4</v>
      </c>
      <c r="P474" s="11">
        <f>YEAR(tblSales[[#This Row],[Date]])</f>
        <v>2024</v>
      </c>
      <c r="Q474" s="5">
        <f>tblSales[[#This Row],[Profit]]/tblSales[[#This Row],[Revenue]]</f>
        <v>0.2</v>
      </c>
      <c r="R474" s="8">
        <f>tblSales[[#This Row],[Revenue]]*1.1</f>
        <v>275000</v>
      </c>
    </row>
    <row r="475" spans="1:18">
      <c r="A475" t="s">
        <v>1298</v>
      </c>
      <c r="B475" s="7">
        <v>45580</v>
      </c>
      <c r="C475" t="s">
        <v>19</v>
      </c>
      <c r="D475" t="s">
        <v>113</v>
      </c>
      <c r="E475" t="s">
        <v>1087</v>
      </c>
      <c r="F475" t="s">
        <v>36</v>
      </c>
      <c r="G475" t="s">
        <v>1299</v>
      </c>
      <c r="H475">
        <v>2</v>
      </c>
      <c r="I475" s="8">
        <v>100000</v>
      </c>
      <c r="J475" s="8">
        <v>15000</v>
      </c>
      <c r="K475">
        <v>0</v>
      </c>
      <c r="L475" s="8">
        <v>4000</v>
      </c>
      <c r="M475" t="s">
        <v>38</v>
      </c>
      <c r="N475" s="11" t="str">
        <f>TEXT(tblSales[[#This Row],[Date]],"mmmm")</f>
        <v>October</v>
      </c>
      <c r="O475" s="11" t="str">
        <f>"Q"&amp;ROUNDUP(MONTH(tblSales[[#This Row],[Date]])/3,0)</f>
        <v>Q4</v>
      </c>
      <c r="P475" s="11">
        <f>YEAR(tblSales[[#This Row],[Date]])</f>
        <v>2024</v>
      </c>
      <c r="Q475" s="5">
        <f>tblSales[[#This Row],[Profit]]/tblSales[[#This Row],[Revenue]]</f>
        <v>0.15</v>
      </c>
      <c r="R475" s="8">
        <f>tblSales[[#This Row],[Revenue]]*1.1</f>
        <v>110000</v>
      </c>
    </row>
    <row r="476" spans="1:18">
      <c r="A476" t="s">
        <v>1300</v>
      </c>
      <c r="B476" s="7">
        <v>45581</v>
      </c>
      <c r="C476" t="s">
        <v>33</v>
      </c>
      <c r="D476" t="s">
        <v>54</v>
      </c>
      <c r="E476" t="s">
        <v>1301</v>
      </c>
      <c r="F476" t="s">
        <v>22</v>
      </c>
      <c r="G476" t="s">
        <v>1302</v>
      </c>
      <c r="H476">
        <v>200</v>
      </c>
      <c r="I476" s="8">
        <v>400000</v>
      </c>
      <c r="J476" s="8">
        <v>80000</v>
      </c>
      <c r="K476">
        <v>0</v>
      </c>
      <c r="L476" s="8">
        <v>10000</v>
      </c>
      <c r="M476" t="s">
        <v>24</v>
      </c>
      <c r="N476" s="11" t="str">
        <f>TEXT(tblSales[[#This Row],[Date]],"mmmm")</f>
        <v>October</v>
      </c>
      <c r="O476" s="11" t="str">
        <f>"Q"&amp;ROUNDUP(MONTH(tblSales[[#This Row],[Date]])/3,0)</f>
        <v>Q4</v>
      </c>
      <c r="P476" s="11">
        <f>YEAR(tblSales[[#This Row],[Date]])</f>
        <v>2024</v>
      </c>
      <c r="Q476" s="5">
        <f>tblSales[[#This Row],[Profit]]/tblSales[[#This Row],[Revenue]]</f>
        <v>0.2</v>
      </c>
      <c r="R476" s="8">
        <f>tblSales[[#This Row],[Revenue]]*1.1</f>
        <v>440000</v>
      </c>
    </row>
    <row r="477" spans="1:18">
      <c r="A477" t="s">
        <v>1303</v>
      </c>
      <c r="B477" s="7">
        <v>45581</v>
      </c>
      <c r="C477" t="s">
        <v>26</v>
      </c>
      <c r="D477" t="s">
        <v>71</v>
      </c>
      <c r="E477" t="s">
        <v>1304</v>
      </c>
      <c r="F477" t="s">
        <v>29</v>
      </c>
      <c r="G477" t="s">
        <v>1305</v>
      </c>
      <c r="H477">
        <v>30</v>
      </c>
      <c r="I477" s="8">
        <v>150000</v>
      </c>
      <c r="J477" s="8">
        <v>30000</v>
      </c>
      <c r="K477">
        <v>0</v>
      </c>
      <c r="L477" s="8">
        <v>5000</v>
      </c>
      <c r="M477" t="s">
        <v>31</v>
      </c>
      <c r="N477" s="11" t="str">
        <f>TEXT(tblSales[[#This Row],[Date]],"mmmm")</f>
        <v>October</v>
      </c>
      <c r="O477" s="11" t="str">
        <f>"Q"&amp;ROUNDUP(MONTH(tblSales[[#This Row],[Date]])/3,0)</f>
        <v>Q4</v>
      </c>
      <c r="P477" s="11">
        <f>YEAR(tblSales[[#This Row],[Date]])</f>
        <v>2024</v>
      </c>
      <c r="Q477" s="5">
        <f>tblSales[[#This Row],[Profit]]/tblSales[[#This Row],[Revenue]]</f>
        <v>0.2</v>
      </c>
      <c r="R477" s="8">
        <f>tblSales[[#This Row],[Revenue]]*1.1</f>
        <v>165000</v>
      </c>
    </row>
    <row r="478" spans="1:18">
      <c r="A478" t="s">
        <v>1306</v>
      </c>
      <c r="B478" s="7">
        <v>45582</v>
      </c>
      <c r="C478" t="s">
        <v>40</v>
      </c>
      <c r="D478" t="s">
        <v>41</v>
      </c>
      <c r="E478" t="s">
        <v>1307</v>
      </c>
      <c r="F478" t="s">
        <v>43</v>
      </c>
      <c r="G478" t="s">
        <v>1308</v>
      </c>
      <c r="H478">
        <v>18</v>
      </c>
      <c r="I478" s="8">
        <v>90000</v>
      </c>
      <c r="J478" s="8">
        <v>13500</v>
      </c>
      <c r="K478">
        <v>0</v>
      </c>
      <c r="L478" s="8">
        <v>3000</v>
      </c>
      <c r="M478" t="s">
        <v>24</v>
      </c>
      <c r="N478" s="11" t="str">
        <f>TEXT(tblSales[[#This Row],[Date]],"mmmm")</f>
        <v>October</v>
      </c>
      <c r="O478" s="11" t="str">
        <f>"Q"&amp;ROUNDUP(MONTH(tblSales[[#This Row],[Date]])/3,0)</f>
        <v>Q4</v>
      </c>
      <c r="P478" s="11">
        <f>YEAR(tblSales[[#This Row],[Date]])</f>
        <v>2024</v>
      </c>
      <c r="Q478" s="5">
        <f>tblSales[[#This Row],[Profit]]/tblSales[[#This Row],[Revenue]]</f>
        <v>0.15</v>
      </c>
      <c r="R478" s="8">
        <f>tblSales[[#This Row],[Revenue]]*1.1</f>
        <v>99000</v>
      </c>
    </row>
    <row r="479" spans="1:18">
      <c r="A479" t="s">
        <v>1309</v>
      </c>
      <c r="B479" s="7">
        <v>45582</v>
      </c>
      <c r="C479" t="s">
        <v>19</v>
      </c>
      <c r="D479" t="s">
        <v>50</v>
      </c>
      <c r="E479" t="s">
        <v>1310</v>
      </c>
      <c r="F479" t="s">
        <v>36</v>
      </c>
      <c r="G479" t="s">
        <v>1311</v>
      </c>
      <c r="H479">
        <v>3</v>
      </c>
      <c r="I479" s="8">
        <v>90000</v>
      </c>
      <c r="J479" s="8">
        <v>13500</v>
      </c>
      <c r="K479">
        <v>0</v>
      </c>
      <c r="L479" s="8">
        <v>3000</v>
      </c>
      <c r="M479" t="s">
        <v>38</v>
      </c>
      <c r="N479" s="11" t="str">
        <f>TEXT(tblSales[[#This Row],[Date]],"mmmm")</f>
        <v>October</v>
      </c>
      <c r="O479" s="11" t="str">
        <f>"Q"&amp;ROUNDUP(MONTH(tblSales[[#This Row],[Date]])/3,0)</f>
        <v>Q4</v>
      </c>
      <c r="P479" s="11">
        <f>YEAR(tblSales[[#This Row],[Date]])</f>
        <v>2024</v>
      </c>
      <c r="Q479" s="5">
        <f>tblSales[[#This Row],[Profit]]/tblSales[[#This Row],[Revenue]]</f>
        <v>0.15</v>
      </c>
      <c r="R479" s="8">
        <f>tblSales[[#This Row],[Revenue]]*1.1</f>
        <v>99000</v>
      </c>
    </row>
    <row r="480" spans="1:18">
      <c r="A480" t="s">
        <v>1312</v>
      </c>
      <c r="B480" s="7">
        <v>45583</v>
      </c>
      <c r="C480" t="s">
        <v>33</v>
      </c>
      <c r="D480" t="s">
        <v>34</v>
      </c>
      <c r="E480" t="s">
        <v>1313</v>
      </c>
      <c r="F480" t="s">
        <v>22</v>
      </c>
      <c r="G480" t="s">
        <v>1314</v>
      </c>
      <c r="H480">
        <v>50</v>
      </c>
      <c r="I480" s="8">
        <v>250000</v>
      </c>
      <c r="J480" s="8">
        <v>50000</v>
      </c>
      <c r="K480">
        <v>0</v>
      </c>
      <c r="L480" s="8">
        <v>8000</v>
      </c>
      <c r="M480" t="s">
        <v>24</v>
      </c>
      <c r="N480" s="11" t="str">
        <f>TEXT(tblSales[[#This Row],[Date]],"mmmm")</f>
        <v>October</v>
      </c>
      <c r="O480" s="11" t="str">
        <f>"Q"&amp;ROUNDUP(MONTH(tblSales[[#This Row],[Date]])/3,0)</f>
        <v>Q4</v>
      </c>
      <c r="P480" s="11">
        <f>YEAR(tblSales[[#This Row],[Date]])</f>
        <v>2024</v>
      </c>
      <c r="Q480" s="5">
        <f>tblSales[[#This Row],[Profit]]/tblSales[[#This Row],[Revenue]]</f>
        <v>0.2</v>
      </c>
      <c r="R480" s="8">
        <f>tblSales[[#This Row],[Revenue]]*1.1</f>
        <v>275000</v>
      </c>
    </row>
    <row r="481" spans="1:18">
      <c r="A481" t="s">
        <v>1315</v>
      </c>
      <c r="B481" s="7">
        <v>45583</v>
      </c>
      <c r="C481" t="s">
        <v>26</v>
      </c>
      <c r="D481" t="s">
        <v>27</v>
      </c>
      <c r="E481" t="s">
        <v>1316</v>
      </c>
      <c r="F481" t="s">
        <v>29</v>
      </c>
      <c r="G481" t="s">
        <v>1317</v>
      </c>
      <c r="H481">
        <v>40</v>
      </c>
      <c r="I481" s="8">
        <v>200000</v>
      </c>
      <c r="J481" s="8">
        <v>40000</v>
      </c>
      <c r="K481">
        <v>0</v>
      </c>
      <c r="L481" s="8">
        <v>6000</v>
      </c>
      <c r="M481" t="s">
        <v>31</v>
      </c>
      <c r="N481" s="11" t="str">
        <f>TEXT(tblSales[[#This Row],[Date]],"mmmm")</f>
        <v>October</v>
      </c>
      <c r="O481" s="11" t="str">
        <f>"Q"&amp;ROUNDUP(MONTH(tblSales[[#This Row],[Date]])/3,0)</f>
        <v>Q4</v>
      </c>
      <c r="P481" s="11">
        <f>YEAR(tblSales[[#This Row],[Date]])</f>
        <v>2024</v>
      </c>
      <c r="Q481" s="5">
        <f>tblSales[[#This Row],[Profit]]/tblSales[[#This Row],[Revenue]]</f>
        <v>0.2</v>
      </c>
      <c r="R481" s="8">
        <f>tblSales[[#This Row],[Revenue]]*1.1</f>
        <v>220000</v>
      </c>
    </row>
    <row r="482" spans="1:18">
      <c r="A482" t="s">
        <v>1318</v>
      </c>
      <c r="B482" s="7">
        <v>45584</v>
      </c>
      <c r="C482" t="s">
        <v>40</v>
      </c>
      <c r="D482" t="s">
        <v>126</v>
      </c>
      <c r="E482" t="s">
        <v>1319</v>
      </c>
      <c r="F482" t="s">
        <v>43</v>
      </c>
      <c r="G482" t="s">
        <v>1320</v>
      </c>
      <c r="H482">
        <v>80</v>
      </c>
      <c r="I482" s="8">
        <v>80000</v>
      </c>
      <c r="J482" s="8">
        <v>12000</v>
      </c>
      <c r="K482">
        <v>0</v>
      </c>
      <c r="L482" s="8">
        <v>2000</v>
      </c>
      <c r="M482" t="s">
        <v>24</v>
      </c>
      <c r="N482" s="11" t="str">
        <f>TEXT(tblSales[[#This Row],[Date]],"mmmm")</f>
        <v>October</v>
      </c>
      <c r="O482" s="11" t="str">
        <f>"Q"&amp;ROUNDUP(MONTH(tblSales[[#This Row],[Date]])/3,0)</f>
        <v>Q4</v>
      </c>
      <c r="P482" s="11">
        <f>YEAR(tblSales[[#This Row],[Date]])</f>
        <v>2024</v>
      </c>
      <c r="Q482" s="5">
        <f>tblSales[[#This Row],[Profit]]/tblSales[[#This Row],[Revenue]]</f>
        <v>0.15</v>
      </c>
      <c r="R482" s="8">
        <f>tblSales[[#This Row],[Revenue]]*1.1</f>
        <v>88000</v>
      </c>
    </row>
    <row r="483" spans="1:18">
      <c r="A483" t="s">
        <v>1321</v>
      </c>
      <c r="B483" s="7">
        <v>45584</v>
      </c>
      <c r="C483" t="s">
        <v>19</v>
      </c>
      <c r="D483" t="s">
        <v>20</v>
      </c>
      <c r="E483" t="s">
        <v>1322</v>
      </c>
      <c r="F483" t="s">
        <v>36</v>
      </c>
      <c r="G483" t="s">
        <v>1323</v>
      </c>
      <c r="H483">
        <v>2</v>
      </c>
      <c r="I483" s="8">
        <v>60000</v>
      </c>
      <c r="J483" s="8">
        <v>9000</v>
      </c>
      <c r="K483">
        <v>0</v>
      </c>
      <c r="L483" s="8">
        <v>2000</v>
      </c>
      <c r="M483" t="s">
        <v>38</v>
      </c>
      <c r="N483" s="11" t="str">
        <f>TEXT(tblSales[[#This Row],[Date]],"mmmm")</f>
        <v>October</v>
      </c>
      <c r="O483" s="11" t="str">
        <f>"Q"&amp;ROUNDUP(MONTH(tblSales[[#This Row],[Date]])/3,0)</f>
        <v>Q4</v>
      </c>
      <c r="P483" s="11">
        <f>YEAR(tblSales[[#This Row],[Date]])</f>
        <v>2024</v>
      </c>
      <c r="Q483" s="5">
        <f>tblSales[[#This Row],[Profit]]/tblSales[[#This Row],[Revenue]]</f>
        <v>0.15</v>
      </c>
      <c r="R483" s="8">
        <f>tblSales[[#This Row],[Revenue]]*1.1</f>
        <v>66000</v>
      </c>
    </row>
    <row r="484" spans="1:18">
      <c r="A484" t="s">
        <v>1324</v>
      </c>
      <c r="B484" s="7">
        <v>45585</v>
      </c>
      <c r="C484" t="s">
        <v>33</v>
      </c>
      <c r="D484" t="s">
        <v>54</v>
      </c>
      <c r="E484" t="s">
        <v>1325</v>
      </c>
      <c r="F484" t="s">
        <v>22</v>
      </c>
      <c r="G484" t="s">
        <v>1326</v>
      </c>
      <c r="H484">
        <v>150</v>
      </c>
      <c r="I484" s="8">
        <v>225000</v>
      </c>
      <c r="J484" s="8">
        <v>45000</v>
      </c>
      <c r="K484">
        <v>0</v>
      </c>
      <c r="L484" s="8">
        <v>8000</v>
      </c>
      <c r="M484" t="s">
        <v>24</v>
      </c>
      <c r="N484" s="11" t="str">
        <f>TEXT(tblSales[[#This Row],[Date]],"mmmm")</f>
        <v>October</v>
      </c>
      <c r="O484" s="11" t="str">
        <f>"Q"&amp;ROUNDUP(MONTH(tblSales[[#This Row],[Date]])/3,0)</f>
        <v>Q4</v>
      </c>
      <c r="P484" s="11">
        <f>YEAR(tblSales[[#This Row],[Date]])</f>
        <v>2024</v>
      </c>
      <c r="Q484" s="5">
        <f>tblSales[[#This Row],[Profit]]/tblSales[[#This Row],[Revenue]]</f>
        <v>0.2</v>
      </c>
      <c r="R484" s="8">
        <f>tblSales[[#This Row],[Revenue]]*1.1</f>
        <v>247500</v>
      </c>
    </row>
    <row r="485" spans="1:18">
      <c r="A485" t="s">
        <v>1327</v>
      </c>
      <c r="B485" s="7">
        <v>45585</v>
      </c>
      <c r="C485" t="s">
        <v>26</v>
      </c>
      <c r="D485" t="s">
        <v>46</v>
      </c>
      <c r="E485" t="s">
        <v>1328</v>
      </c>
      <c r="F485" t="s">
        <v>29</v>
      </c>
      <c r="G485" t="s">
        <v>1329</v>
      </c>
      <c r="H485">
        <v>60</v>
      </c>
      <c r="I485" s="8">
        <v>120000</v>
      </c>
      <c r="J485" s="8">
        <v>24000</v>
      </c>
      <c r="K485">
        <v>0</v>
      </c>
      <c r="L485" s="8">
        <v>4000</v>
      </c>
      <c r="M485" t="s">
        <v>31</v>
      </c>
      <c r="N485" s="11" t="str">
        <f>TEXT(tblSales[[#This Row],[Date]],"mmmm")</f>
        <v>October</v>
      </c>
      <c r="O485" s="11" t="str">
        <f>"Q"&amp;ROUNDUP(MONTH(tblSales[[#This Row],[Date]])/3,0)</f>
        <v>Q4</v>
      </c>
      <c r="P485" s="11">
        <f>YEAR(tblSales[[#This Row],[Date]])</f>
        <v>2024</v>
      </c>
      <c r="Q485" s="5">
        <f>tblSales[[#This Row],[Profit]]/tblSales[[#This Row],[Revenue]]</f>
        <v>0.2</v>
      </c>
      <c r="R485" s="8">
        <f>tblSales[[#This Row],[Revenue]]*1.1</f>
        <v>132000</v>
      </c>
    </row>
    <row r="486" spans="1:18">
      <c r="A486" t="s">
        <v>1330</v>
      </c>
      <c r="B486" s="7">
        <v>45586</v>
      </c>
      <c r="C486" t="s">
        <v>40</v>
      </c>
      <c r="D486" t="s">
        <v>41</v>
      </c>
      <c r="E486" t="s">
        <v>1331</v>
      </c>
      <c r="F486" t="s">
        <v>43</v>
      </c>
      <c r="G486" t="s">
        <v>1332</v>
      </c>
      <c r="H486">
        <v>30</v>
      </c>
      <c r="I486" s="8">
        <v>60000</v>
      </c>
      <c r="J486" s="8">
        <v>9000</v>
      </c>
      <c r="K486">
        <v>0</v>
      </c>
      <c r="L486" s="8">
        <v>2000</v>
      </c>
      <c r="M486" t="s">
        <v>24</v>
      </c>
      <c r="N486" s="11" t="str">
        <f>TEXT(tblSales[[#This Row],[Date]],"mmmm")</f>
        <v>October</v>
      </c>
      <c r="O486" s="11" t="str">
        <f>"Q"&amp;ROUNDUP(MONTH(tblSales[[#This Row],[Date]])/3,0)</f>
        <v>Q4</v>
      </c>
      <c r="P486" s="11">
        <f>YEAR(tblSales[[#This Row],[Date]])</f>
        <v>2024</v>
      </c>
      <c r="Q486" s="5">
        <f>tblSales[[#This Row],[Profit]]/tblSales[[#This Row],[Revenue]]</f>
        <v>0.15</v>
      </c>
      <c r="R486" s="8">
        <f>tblSales[[#This Row],[Revenue]]*1.1</f>
        <v>66000</v>
      </c>
    </row>
    <row r="487" spans="1:18">
      <c r="A487" t="s">
        <v>1333</v>
      </c>
      <c r="B487" s="7">
        <v>45586</v>
      </c>
      <c r="C487" t="s">
        <v>19</v>
      </c>
      <c r="D487" t="s">
        <v>100</v>
      </c>
      <c r="E487" t="s">
        <v>1334</v>
      </c>
      <c r="F487" t="s">
        <v>36</v>
      </c>
      <c r="G487" t="s">
        <v>1335</v>
      </c>
      <c r="H487">
        <v>20</v>
      </c>
      <c r="I487" s="8">
        <v>100000</v>
      </c>
      <c r="J487" s="8">
        <v>15000</v>
      </c>
      <c r="K487">
        <v>0</v>
      </c>
      <c r="L487" s="8">
        <v>3000</v>
      </c>
      <c r="M487" t="s">
        <v>38</v>
      </c>
      <c r="N487" s="11" t="str">
        <f>TEXT(tblSales[[#This Row],[Date]],"mmmm")</f>
        <v>October</v>
      </c>
      <c r="O487" s="11" t="str">
        <f>"Q"&amp;ROUNDUP(MONTH(tblSales[[#This Row],[Date]])/3,0)</f>
        <v>Q4</v>
      </c>
      <c r="P487" s="11">
        <f>YEAR(tblSales[[#This Row],[Date]])</f>
        <v>2024</v>
      </c>
      <c r="Q487" s="5">
        <f>tblSales[[#This Row],[Profit]]/tblSales[[#This Row],[Revenue]]</f>
        <v>0.15</v>
      </c>
      <c r="R487" s="8">
        <f>tblSales[[#This Row],[Revenue]]*1.1</f>
        <v>110000</v>
      </c>
    </row>
    <row r="488" spans="1:18">
      <c r="A488" t="s">
        <v>1336</v>
      </c>
      <c r="B488" s="7">
        <v>45587</v>
      </c>
      <c r="C488" t="s">
        <v>33</v>
      </c>
      <c r="D488" t="s">
        <v>34</v>
      </c>
      <c r="E488" t="s">
        <v>1337</v>
      </c>
      <c r="F488" t="s">
        <v>22</v>
      </c>
      <c r="G488" t="s">
        <v>1338</v>
      </c>
      <c r="H488">
        <v>80</v>
      </c>
      <c r="I488" s="8">
        <v>240000</v>
      </c>
      <c r="J488" s="8">
        <v>48000</v>
      </c>
      <c r="K488">
        <v>0</v>
      </c>
      <c r="L488" s="8">
        <v>8000</v>
      </c>
      <c r="M488" t="s">
        <v>24</v>
      </c>
      <c r="N488" s="11" t="str">
        <f>TEXT(tblSales[[#This Row],[Date]],"mmmm")</f>
        <v>October</v>
      </c>
      <c r="O488" s="11" t="str">
        <f>"Q"&amp;ROUNDUP(MONTH(tblSales[[#This Row],[Date]])/3,0)</f>
        <v>Q4</v>
      </c>
      <c r="P488" s="11">
        <f>YEAR(tblSales[[#This Row],[Date]])</f>
        <v>2024</v>
      </c>
      <c r="Q488" s="5">
        <f>tblSales[[#This Row],[Profit]]/tblSales[[#This Row],[Revenue]]</f>
        <v>0.2</v>
      </c>
      <c r="R488" s="8">
        <f>tblSales[[#This Row],[Revenue]]*1.1</f>
        <v>264000</v>
      </c>
    </row>
    <row r="489" spans="1:18">
      <c r="A489" t="s">
        <v>1339</v>
      </c>
      <c r="B489" s="7">
        <v>45587</v>
      </c>
      <c r="C489" t="s">
        <v>26</v>
      </c>
      <c r="D489" t="s">
        <v>27</v>
      </c>
      <c r="E489" t="s">
        <v>1340</v>
      </c>
      <c r="F489" t="s">
        <v>29</v>
      </c>
      <c r="G489" t="s">
        <v>1341</v>
      </c>
      <c r="H489">
        <v>100</v>
      </c>
      <c r="I489" s="8">
        <v>50000</v>
      </c>
      <c r="J489" s="8">
        <v>10000</v>
      </c>
      <c r="K489">
        <v>0</v>
      </c>
      <c r="L489" s="8">
        <v>2000</v>
      </c>
      <c r="M489" t="s">
        <v>31</v>
      </c>
      <c r="N489" s="11" t="str">
        <f>TEXT(tblSales[[#This Row],[Date]],"mmmm")</f>
        <v>October</v>
      </c>
      <c r="O489" s="11" t="str">
        <f>"Q"&amp;ROUNDUP(MONTH(tblSales[[#This Row],[Date]])/3,0)</f>
        <v>Q4</v>
      </c>
      <c r="P489" s="11">
        <f>YEAR(tblSales[[#This Row],[Date]])</f>
        <v>2024</v>
      </c>
      <c r="Q489" s="5">
        <f>tblSales[[#This Row],[Profit]]/tblSales[[#This Row],[Revenue]]</f>
        <v>0.2</v>
      </c>
      <c r="R489" s="8">
        <f>tblSales[[#This Row],[Revenue]]*1.1</f>
        <v>55000</v>
      </c>
    </row>
    <row r="490" spans="1:18">
      <c r="A490" t="s">
        <v>1342</v>
      </c>
      <c r="B490" s="7">
        <v>45588</v>
      </c>
      <c r="C490" t="s">
        <v>40</v>
      </c>
      <c r="D490" t="s">
        <v>93</v>
      </c>
      <c r="E490" t="s">
        <v>1343</v>
      </c>
      <c r="F490" t="s">
        <v>43</v>
      </c>
      <c r="G490" t="s">
        <v>1344</v>
      </c>
      <c r="H490">
        <v>40</v>
      </c>
      <c r="I490" s="8">
        <v>120000</v>
      </c>
      <c r="J490" s="8">
        <v>18000</v>
      </c>
      <c r="K490">
        <v>0</v>
      </c>
      <c r="L490" s="8">
        <v>4000</v>
      </c>
      <c r="M490" t="s">
        <v>24</v>
      </c>
      <c r="N490" s="11" t="str">
        <f>TEXT(tblSales[[#This Row],[Date]],"mmmm")</f>
        <v>October</v>
      </c>
      <c r="O490" s="11" t="str">
        <f>"Q"&amp;ROUNDUP(MONTH(tblSales[[#This Row],[Date]])/3,0)</f>
        <v>Q4</v>
      </c>
      <c r="P490" s="11">
        <f>YEAR(tblSales[[#This Row],[Date]])</f>
        <v>2024</v>
      </c>
      <c r="Q490" s="5">
        <f>tblSales[[#This Row],[Profit]]/tblSales[[#This Row],[Revenue]]</f>
        <v>0.15</v>
      </c>
      <c r="R490" s="8">
        <f>tblSales[[#This Row],[Revenue]]*1.1</f>
        <v>132000</v>
      </c>
    </row>
    <row r="491" spans="1:18">
      <c r="A491" t="s">
        <v>1345</v>
      </c>
      <c r="B491" s="7">
        <v>45588</v>
      </c>
      <c r="C491" t="s">
        <v>19</v>
      </c>
      <c r="D491" t="s">
        <v>50</v>
      </c>
      <c r="E491" t="s">
        <v>1346</v>
      </c>
      <c r="F491" t="s">
        <v>36</v>
      </c>
      <c r="G491" t="s">
        <v>1347</v>
      </c>
      <c r="H491">
        <v>50</v>
      </c>
      <c r="I491" s="8">
        <v>50000</v>
      </c>
      <c r="J491" s="8">
        <v>10000</v>
      </c>
      <c r="K491">
        <v>0</v>
      </c>
      <c r="L491" s="8">
        <v>1000</v>
      </c>
      <c r="M491" t="s">
        <v>38</v>
      </c>
      <c r="N491" s="11" t="str">
        <f>TEXT(tblSales[[#This Row],[Date]],"mmmm")</f>
        <v>October</v>
      </c>
      <c r="O491" s="11" t="str">
        <f>"Q"&amp;ROUNDUP(MONTH(tblSales[[#This Row],[Date]])/3,0)</f>
        <v>Q4</v>
      </c>
      <c r="P491" s="11">
        <f>YEAR(tblSales[[#This Row],[Date]])</f>
        <v>2024</v>
      </c>
      <c r="Q491" s="5">
        <f>tblSales[[#This Row],[Profit]]/tblSales[[#This Row],[Revenue]]</f>
        <v>0.2</v>
      </c>
      <c r="R491" s="8">
        <f>tblSales[[#This Row],[Revenue]]*1.1</f>
        <v>55000</v>
      </c>
    </row>
    <row r="492" spans="1:18">
      <c r="A492" t="s">
        <v>1348</v>
      </c>
      <c r="B492" s="7">
        <v>45589</v>
      </c>
      <c r="C492" t="s">
        <v>33</v>
      </c>
      <c r="D492" t="s">
        <v>54</v>
      </c>
      <c r="E492" t="s">
        <v>1349</v>
      </c>
      <c r="F492" t="s">
        <v>22</v>
      </c>
      <c r="G492" t="s">
        <v>1350</v>
      </c>
      <c r="H492">
        <v>300</v>
      </c>
      <c r="I492" s="8">
        <v>150000</v>
      </c>
      <c r="J492" s="8">
        <v>30000</v>
      </c>
      <c r="K492">
        <v>0</v>
      </c>
      <c r="L492" s="8">
        <v>5000</v>
      </c>
      <c r="M492" t="s">
        <v>24</v>
      </c>
      <c r="N492" s="11" t="str">
        <f>TEXT(tblSales[[#This Row],[Date]],"mmmm")</f>
        <v>October</v>
      </c>
      <c r="O492" s="11" t="str">
        <f>"Q"&amp;ROUNDUP(MONTH(tblSales[[#This Row],[Date]])/3,0)</f>
        <v>Q4</v>
      </c>
      <c r="P492" s="11">
        <f>YEAR(tblSales[[#This Row],[Date]])</f>
        <v>2024</v>
      </c>
      <c r="Q492" s="5">
        <f>tblSales[[#This Row],[Profit]]/tblSales[[#This Row],[Revenue]]</f>
        <v>0.2</v>
      </c>
      <c r="R492" s="8">
        <f>tblSales[[#This Row],[Revenue]]*1.1</f>
        <v>165000</v>
      </c>
    </row>
    <row r="493" spans="1:18">
      <c r="A493" t="s">
        <v>1351</v>
      </c>
      <c r="B493" s="7">
        <v>45589</v>
      </c>
      <c r="C493" t="s">
        <v>26</v>
      </c>
      <c r="D493" t="s">
        <v>71</v>
      </c>
      <c r="E493" t="s">
        <v>1352</v>
      </c>
      <c r="F493" t="s">
        <v>29</v>
      </c>
      <c r="G493" t="s">
        <v>1353</v>
      </c>
      <c r="H493">
        <v>70</v>
      </c>
      <c r="I493" s="8">
        <v>70000</v>
      </c>
      <c r="J493" s="8">
        <v>14000</v>
      </c>
      <c r="K493">
        <v>0</v>
      </c>
      <c r="L493" s="8">
        <v>2000</v>
      </c>
      <c r="M493" t="s">
        <v>31</v>
      </c>
      <c r="N493" s="11" t="str">
        <f>TEXT(tblSales[[#This Row],[Date]],"mmmm")</f>
        <v>October</v>
      </c>
      <c r="O493" s="11" t="str">
        <f>"Q"&amp;ROUNDUP(MONTH(tblSales[[#This Row],[Date]])/3,0)</f>
        <v>Q4</v>
      </c>
      <c r="P493" s="11">
        <f>YEAR(tblSales[[#This Row],[Date]])</f>
        <v>2024</v>
      </c>
      <c r="Q493" s="5">
        <f>tblSales[[#This Row],[Profit]]/tblSales[[#This Row],[Revenue]]</f>
        <v>0.2</v>
      </c>
      <c r="R493" s="8">
        <f>tblSales[[#This Row],[Revenue]]*1.1</f>
        <v>77000</v>
      </c>
    </row>
    <row r="494" spans="1:18">
      <c r="A494" t="s">
        <v>1354</v>
      </c>
      <c r="B494" s="7">
        <v>45590</v>
      </c>
      <c r="C494" t="s">
        <v>40</v>
      </c>
      <c r="D494" t="s">
        <v>41</v>
      </c>
      <c r="E494" t="s">
        <v>1355</v>
      </c>
      <c r="F494" t="s">
        <v>43</v>
      </c>
      <c r="G494" t="s">
        <v>1356</v>
      </c>
      <c r="H494">
        <v>100</v>
      </c>
      <c r="I494" s="8">
        <v>50000</v>
      </c>
      <c r="J494" s="8">
        <v>7500</v>
      </c>
      <c r="K494">
        <v>0</v>
      </c>
      <c r="L494" s="8">
        <v>2000</v>
      </c>
      <c r="M494" t="s">
        <v>24</v>
      </c>
      <c r="N494" s="11" t="str">
        <f>TEXT(tblSales[[#This Row],[Date]],"mmmm")</f>
        <v>October</v>
      </c>
      <c r="O494" s="11" t="str">
        <f>"Q"&amp;ROUNDUP(MONTH(tblSales[[#This Row],[Date]])/3,0)</f>
        <v>Q4</v>
      </c>
      <c r="P494" s="11">
        <f>YEAR(tblSales[[#This Row],[Date]])</f>
        <v>2024</v>
      </c>
      <c r="Q494" s="5">
        <f>tblSales[[#This Row],[Profit]]/tblSales[[#This Row],[Revenue]]</f>
        <v>0.15</v>
      </c>
      <c r="R494" s="8">
        <f>tblSales[[#This Row],[Revenue]]*1.1</f>
        <v>55000</v>
      </c>
    </row>
    <row r="495" spans="1:18">
      <c r="A495" t="s">
        <v>1357</v>
      </c>
      <c r="B495" s="7">
        <v>45590</v>
      </c>
      <c r="C495" t="s">
        <v>19</v>
      </c>
      <c r="D495" t="s">
        <v>20</v>
      </c>
      <c r="E495" t="s">
        <v>1358</v>
      </c>
      <c r="F495" t="s">
        <v>36</v>
      </c>
      <c r="G495" t="s">
        <v>1359</v>
      </c>
      <c r="H495">
        <v>60</v>
      </c>
      <c r="I495" s="8">
        <v>60000</v>
      </c>
      <c r="J495" s="8">
        <v>12000</v>
      </c>
      <c r="K495">
        <v>0</v>
      </c>
      <c r="L495" s="8">
        <v>2000</v>
      </c>
      <c r="M495" t="s">
        <v>38</v>
      </c>
      <c r="N495" s="11" t="str">
        <f>TEXT(tblSales[[#This Row],[Date]],"mmmm")</f>
        <v>October</v>
      </c>
      <c r="O495" s="11" t="str">
        <f>"Q"&amp;ROUNDUP(MONTH(tblSales[[#This Row],[Date]])/3,0)</f>
        <v>Q4</v>
      </c>
      <c r="P495" s="11">
        <f>YEAR(tblSales[[#This Row],[Date]])</f>
        <v>2024</v>
      </c>
      <c r="Q495" s="5">
        <f>tblSales[[#This Row],[Profit]]/tblSales[[#This Row],[Revenue]]</f>
        <v>0.2</v>
      </c>
      <c r="R495" s="8">
        <f>tblSales[[#This Row],[Revenue]]*1.1</f>
        <v>66000</v>
      </c>
    </row>
    <row r="496" spans="1:18">
      <c r="A496" t="s">
        <v>1360</v>
      </c>
      <c r="B496" s="7">
        <v>45591</v>
      </c>
      <c r="C496" t="s">
        <v>33</v>
      </c>
      <c r="D496" t="s">
        <v>34</v>
      </c>
      <c r="E496" t="s">
        <v>1361</v>
      </c>
      <c r="F496" t="s">
        <v>22</v>
      </c>
      <c r="G496" t="s">
        <v>1362</v>
      </c>
      <c r="H496">
        <v>500</v>
      </c>
      <c r="I496" s="8">
        <v>150000</v>
      </c>
      <c r="J496" s="8">
        <v>30000</v>
      </c>
      <c r="K496">
        <v>0</v>
      </c>
      <c r="L496" s="8">
        <v>5000</v>
      </c>
      <c r="M496" t="s">
        <v>24</v>
      </c>
      <c r="N496" s="11" t="str">
        <f>TEXT(tblSales[[#This Row],[Date]],"mmmm")</f>
        <v>October</v>
      </c>
      <c r="O496" s="11" t="str">
        <f>"Q"&amp;ROUNDUP(MONTH(tblSales[[#This Row],[Date]])/3,0)</f>
        <v>Q4</v>
      </c>
      <c r="P496" s="11">
        <f>YEAR(tblSales[[#This Row],[Date]])</f>
        <v>2024</v>
      </c>
      <c r="Q496" s="5">
        <f>tblSales[[#This Row],[Profit]]/tblSales[[#This Row],[Revenue]]</f>
        <v>0.2</v>
      </c>
      <c r="R496" s="8">
        <f>tblSales[[#This Row],[Revenue]]*1.1</f>
        <v>165000</v>
      </c>
    </row>
    <row r="497" spans="1:18">
      <c r="A497" t="s">
        <v>1363</v>
      </c>
      <c r="B497" s="7">
        <v>45591</v>
      </c>
      <c r="C497" t="s">
        <v>26</v>
      </c>
      <c r="D497" t="s">
        <v>27</v>
      </c>
      <c r="E497" t="s">
        <v>1364</v>
      </c>
      <c r="F497" t="s">
        <v>29</v>
      </c>
      <c r="G497" t="s">
        <v>1365</v>
      </c>
      <c r="H497">
        <v>45</v>
      </c>
      <c r="I497" s="8">
        <v>135000</v>
      </c>
      <c r="J497" s="8">
        <v>27000</v>
      </c>
      <c r="K497">
        <v>0</v>
      </c>
      <c r="L497" s="8">
        <v>4000</v>
      </c>
      <c r="M497" t="s">
        <v>31</v>
      </c>
      <c r="N497" s="11" t="str">
        <f>TEXT(tblSales[[#This Row],[Date]],"mmmm")</f>
        <v>October</v>
      </c>
      <c r="O497" s="11" t="str">
        <f>"Q"&amp;ROUNDUP(MONTH(tblSales[[#This Row],[Date]])/3,0)</f>
        <v>Q4</v>
      </c>
      <c r="P497" s="11">
        <f>YEAR(tblSales[[#This Row],[Date]])</f>
        <v>2024</v>
      </c>
      <c r="Q497" s="5">
        <f>tblSales[[#This Row],[Profit]]/tblSales[[#This Row],[Revenue]]</f>
        <v>0.2</v>
      </c>
      <c r="R497" s="8">
        <f>tblSales[[#This Row],[Revenue]]*1.1</f>
        <v>148500</v>
      </c>
    </row>
    <row r="498" spans="1:18">
      <c r="A498" t="s">
        <v>1366</v>
      </c>
      <c r="B498" s="7">
        <v>45592</v>
      </c>
      <c r="C498" t="s">
        <v>40</v>
      </c>
      <c r="D498" t="s">
        <v>126</v>
      </c>
      <c r="E498" t="s">
        <v>1367</v>
      </c>
      <c r="F498" t="s">
        <v>43</v>
      </c>
      <c r="G498" t="s">
        <v>1368</v>
      </c>
      <c r="H498">
        <v>70</v>
      </c>
      <c r="I498" s="8">
        <v>70000</v>
      </c>
      <c r="J498" s="8">
        <v>10500</v>
      </c>
      <c r="K498">
        <v>0</v>
      </c>
      <c r="L498" s="8">
        <v>2000</v>
      </c>
      <c r="M498" t="s">
        <v>24</v>
      </c>
      <c r="N498" s="11" t="str">
        <f>TEXT(tblSales[[#This Row],[Date]],"mmmm")</f>
        <v>October</v>
      </c>
      <c r="O498" s="11" t="str">
        <f>"Q"&amp;ROUNDUP(MONTH(tblSales[[#This Row],[Date]])/3,0)</f>
        <v>Q4</v>
      </c>
      <c r="P498" s="11">
        <f>YEAR(tblSales[[#This Row],[Date]])</f>
        <v>2024</v>
      </c>
      <c r="Q498" s="5">
        <f>tblSales[[#This Row],[Profit]]/tblSales[[#This Row],[Revenue]]</f>
        <v>0.15</v>
      </c>
      <c r="R498" s="8">
        <f>tblSales[[#This Row],[Revenue]]*1.1</f>
        <v>77000</v>
      </c>
    </row>
    <row r="499" spans="1:18">
      <c r="A499" t="s">
        <v>1369</v>
      </c>
      <c r="B499" s="7">
        <v>45592</v>
      </c>
      <c r="C499" t="s">
        <v>19</v>
      </c>
      <c r="D499" t="s">
        <v>113</v>
      </c>
      <c r="E499" t="s">
        <v>1370</v>
      </c>
      <c r="F499" t="s">
        <v>36</v>
      </c>
      <c r="G499" t="s">
        <v>1371</v>
      </c>
      <c r="H499">
        <v>30</v>
      </c>
      <c r="I499" s="8">
        <v>30000</v>
      </c>
      <c r="J499" s="8">
        <v>4500</v>
      </c>
      <c r="K499">
        <v>0</v>
      </c>
      <c r="L499" s="8">
        <v>1000</v>
      </c>
      <c r="M499" t="s">
        <v>38</v>
      </c>
      <c r="N499" s="11" t="str">
        <f>TEXT(tblSales[[#This Row],[Date]],"mmmm")</f>
        <v>October</v>
      </c>
      <c r="O499" s="11" t="str">
        <f>"Q"&amp;ROUNDUP(MONTH(tblSales[[#This Row],[Date]])/3,0)</f>
        <v>Q4</v>
      </c>
      <c r="P499" s="11">
        <f>YEAR(tblSales[[#This Row],[Date]])</f>
        <v>2024</v>
      </c>
      <c r="Q499" s="5">
        <f>tblSales[[#This Row],[Profit]]/tblSales[[#This Row],[Revenue]]</f>
        <v>0.15</v>
      </c>
      <c r="R499" s="8">
        <f>tblSales[[#This Row],[Revenue]]*1.1</f>
        <v>33000</v>
      </c>
    </row>
    <row r="500" spans="1:18">
      <c r="A500" t="s">
        <v>1372</v>
      </c>
      <c r="B500" s="7">
        <v>45593</v>
      </c>
      <c r="C500" t="s">
        <v>33</v>
      </c>
      <c r="D500" t="s">
        <v>54</v>
      </c>
      <c r="E500" t="s">
        <v>1373</v>
      </c>
      <c r="F500" t="s">
        <v>22</v>
      </c>
      <c r="G500" t="s">
        <v>1374</v>
      </c>
      <c r="H500">
        <v>400</v>
      </c>
      <c r="I500" s="8">
        <v>80000</v>
      </c>
      <c r="J500" s="8">
        <v>16000</v>
      </c>
      <c r="K500">
        <v>0</v>
      </c>
      <c r="L500" s="8">
        <v>3000</v>
      </c>
      <c r="M500" t="s">
        <v>24</v>
      </c>
      <c r="N500" s="11" t="str">
        <f>TEXT(tblSales[[#This Row],[Date]],"mmmm")</f>
        <v>October</v>
      </c>
      <c r="O500" s="11" t="str">
        <f>"Q"&amp;ROUNDUP(MONTH(tblSales[[#This Row],[Date]])/3,0)</f>
        <v>Q4</v>
      </c>
      <c r="P500" s="11">
        <f>YEAR(tblSales[[#This Row],[Date]])</f>
        <v>2024</v>
      </c>
      <c r="Q500" s="5">
        <f>tblSales[[#This Row],[Profit]]/tblSales[[#This Row],[Revenue]]</f>
        <v>0.2</v>
      </c>
      <c r="R500" s="8">
        <f>tblSales[[#This Row],[Revenue]]*1.1</f>
        <v>88000</v>
      </c>
    </row>
    <row r="501" spans="1:18">
      <c r="A501" t="s">
        <v>1375</v>
      </c>
      <c r="B501" s="7">
        <v>45593</v>
      </c>
      <c r="C501" t="s">
        <v>26</v>
      </c>
      <c r="D501" t="s">
        <v>46</v>
      </c>
      <c r="E501" t="s">
        <v>393</v>
      </c>
      <c r="F501" t="s">
        <v>29</v>
      </c>
      <c r="G501" t="s">
        <v>1376</v>
      </c>
      <c r="H501">
        <v>120</v>
      </c>
      <c r="I501" s="8">
        <v>120000</v>
      </c>
      <c r="J501" s="8">
        <v>24000</v>
      </c>
      <c r="K501">
        <v>0</v>
      </c>
      <c r="L501" s="8">
        <v>4000</v>
      </c>
      <c r="M501" t="s">
        <v>31</v>
      </c>
      <c r="N501" s="11" t="str">
        <f>TEXT(tblSales[[#This Row],[Date]],"mmmm")</f>
        <v>October</v>
      </c>
      <c r="O501" s="11" t="str">
        <f>"Q"&amp;ROUNDUP(MONTH(tblSales[[#This Row],[Date]])/3,0)</f>
        <v>Q4</v>
      </c>
      <c r="P501" s="11">
        <f>YEAR(tblSales[[#This Row],[Date]])</f>
        <v>2024</v>
      </c>
      <c r="Q501" s="5">
        <f>tblSales[[#This Row],[Profit]]/tblSales[[#This Row],[Revenue]]</f>
        <v>0.2</v>
      </c>
      <c r="R501" s="8">
        <f>tblSales[[#This Row],[Revenue]]*1.1</f>
        <v>132000</v>
      </c>
    </row>
  </sheetData>
  <sortState ref="A2:M504">
    <sortCondition ref="A504"/>
  </sortState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499"/>
  <sheetViews>
    <sheetView workbookViewId="0">
      <selection activeCell="I6" sqref="I6"/>
    </sheetView>
  </sheetViews>
  <sheetFormatPr defaultColWidth="9.14285714285714" defaultRowHeight="15" outlineLevelCol="4"/>
  <cols>
    <col min="1" max="1" width="18.5714285714286" customWidth="1"/>
    <col min="2" max="2" width="29.1428571428571" style="2" customWidth="1"/>
    <col min="4" max="4" width="33.1428571428571"/>
    <col min="5" max="5" width="23" style="2" customWidth="1"/>
  </cols>
  <sheetData>
    <row r="1" spans="1:5">
      <c r="A1" t="s">
        <v>2</v>
      </c>
      <c r="B1" s="2" t="s">
        <v>1377</v>
      </c>
      <c r="D1" t="s">
        <v>6</v>
      </c>
      <c r="E1" s="2" t="s">
        <v>1378</v>
      </c>
    </row>
    <row r="2" spans="1:5">
      <c r="A2" t="s">
        <v>40</v>
      </c>
      <c r="B2" s="2">
        <v>65797500</v>
      </c>
      <c r="D2" t="s">
        <v>642</v>
      </c>
      <c r="E2" s="2">
        <v>18750000</v>
      </c>
    </row>
    <row r="3" spans="1:5">
      <c r="A3" t="s">
        <v>33</v>
      </c>
      <c r="B3" s="2">
        <v>253125000</v>
      </c>
      <c r="D3" t="s">
        <v>672</v>
      </c>
      <c r="E3" s="2">
        <v>10500000</v>
      </c>
    </row>
    <row r="4" spans="1:5">
      <c r="A4" t="s">
        <v>19</v>
      </c>
      <c r="B4" s="2">
        <v>205752500</v>
      </c>
      <c r="D4" t="s">
        <v>780</v>
      </c>
      <c r="E4" s="2">
        <v>10000000</v>
      </c>
    </row>
    <row r="5" spans="1:5">
      <c r="A5" t="s">
        <v>26</v>
      </c>
      <c r="B5" s="2">
        <v>200277500</v>
      </c>
      <c r="D5" t="s">
        <v>818</v>
      </c>
      <c r="E5" s="2">
        <v>4000000</v>
      </c>
    </row>
    <row r="6" spans="1:5">
      <c r="A6" t="s">
        <v>1379</v>
      </c>
      <c r="B6" s="2">
        <v>724952500</v>
      </c>
      <c r="D6" t="s">
        <v>720</v>
      </c>
      <c r="E6" s="2">
        <v>3000000</v>
      </c>
    </row>
    <row r="7" spans="4:5">
      <c r="D7" t="s">
        <v>730</v>
      </c>
      <c r="E7" s="2">
        <v>2700000</v>
      </c>
    </row>
    <row r="8" spans="1:5">
      <c r="A8" t="s">
        <v>5</v>
      </c>
      <c r="B8" s="2" t="s">
        <v>1377</v>
      </c>
      <c r="D8" t="s">
        <v>662</v>
      </c>
      <c r="E8" s="2">
        <v>2700000</v>
      </c>
    </row>
    <row r="9" spans="1:5">
      <c r="A9" t="s">
        <v>29</v>
      </c>
      <c r="B9" s="2">
        <v>81522500</v>
      </c>
      <c r="D9" t="s">
        <v>656</v>
      </c>
      <c r="E9" s="2">
        <v>2500000</v>
      </c>
    </row>
    <row r="10" spans="1:5">
      <c r="A10" t="s">
        <v>22</v>
      </c>
      <c r="B10" s="2">
        <v>337802500</v>
      </c>
      <c r="D10" t="s">
        <v>706</v>
      </c>
      <c r="E10" s="2">
        <v>2500000</v>
      </c>
    </row>
    <row r="11" spans="1:5">
      <c r="A11" t="s">
        <v>36</v>
      </c>
      <c r="B11" s="2">
        <v>255365000</v>
      </c>
      <c r="D11" t="s">
        <v>650</v>
      </c>
      <c r="E11" s="2">
        <v>2400000</v>
      </c>
    </row>
    <row r="12" spans="1:5">
      <c r="A12" t="s">
        <v>43</v>
      </c>
      <c r="B12" s="2">
        <v>50262500</v>
      </c>
      <c r="D12" t="s">
        <v>732</v>
      </c>
      <c r="E12" s="2">
        <v>1600000</v>
      </c>
    </row>
    <row r="13" spans="1:5">
      <c r="A13" t="s">
        <v>1379</v>
      </c>
      <c r="B13" s="2">
        <v>724952500</v>
      </c>
      <c r="D13" t="s">
        <v>676</v>
      </c>
      <c r="E13" s="2">
        <v>1600000</v>
      </c>
    </row>
    <row r="14" spans="4:5">
      <c r="D14" t="s">
        <v>834</v>
      </c>
      <c r="E14" s="2">
        <v>1500000</v>
      </c>
    </row>
    <row r="15" spans="1:5">
      <c r="A15" t="s">
        <v>13</v>
      </c>
      <c r="B15" s="2" t="s">
        <v>1377</v>
      </c>
      <c r="D15" t="s">
        <v>646</v>
      </c>
      <c r="E15" s="2">
        <v>1500000</v>
      </c>
    </row>
    <row r="16" spans="1:5">
      <c r="A16" t="s">
        <v>1380</v>
      </c>
      <c r="B16" s="2">
        <v>21742500</v>
      </c>
      <c r="D16" t="s">
        <v>680</v>
      </c>
      <c r="E16" s="2">
        <v>1350000</v>
      </c>
    </row>
    <row r="17" spans="1:5">
      <c r="A17" t="s">
        <v>1381</v>
      </c>
      <c r="B17" s="2">
        <v>23222500</v>
      </c>
      <c r="D17" t="s">
        <v>724</v>
      </c>
      <c r="E17" s="2">
        <v>1260000</v>
      </c>
    </row>
    <row r="18" spans="1:5">
      <c r="A18" t="s">
        <v>1382</v>
      </c>
      <c r="B18" s="2">
        <v>16767500</v>
      </c>
      <c r="D18" t="s">
        <v>664</v>
      </c>
      <c r="E18" s="2">
        <v>1125000</v>
      </c>
    </row>
    <row r="19" spans="1:5">
      <c r="A19" t="s">
        <v>1383</v>
      </c>
      <c r="B19" s="2">
        <v>11165000</v>
      </c>
      <c r="D19" t="s">
        <v>714</v>
      </c>
      <c r="E19" s="2">
        <v>1000000</v>
      </c>
    </row>
    <row r="20" spans="1:5">
      <c r="A20" t="s">
        <v>1384</v>
      </c>
      <c r="B20" s="2">
        <v>9760000</v>
      </c>
      <c r="D20" t="s">
        <v>682</v>
      </c>
      <c r="E20" s="2">
        <v>1000000</v>
      </c>
    </row>
    <row r="21" spans="1:5">
      <c r="A21" t="s">
        <v>1385</v>
      </c>
      <c r="B21" s="2">
        <v>443845000</v>
      </c>
      <c r="D21" t="s">
        <v>750</v>
      </c>
      <c r="E21" s="2">
        <v>1000000</v>
      </c>
    </row>
    <row r="22" spans="1:5">
      <c r="A22" t="s">
        <v>1386</v>
      </c>
      <c r="B22" s="2">
        <v>140100000</v>
      </c>
      <c r="D22" t="s">
        <v>758</v>
      </c>
      <c r="E22" s="2">
        <v>900000</v>
      </c>
    </row>
    <row r="23" spans="1:5">
      <c r="A23" t="s">
        <v>1387</v>
      </c>
      <c r="B23" s="2">
        <v>36850000</v>
      </c>
      <c r="D23" t="s">
        <v>688</v>
      </c>
      <c r="E23" s="2">
        <v>900000</v>
      </c>
    </row>
    <row r="24" spans="1:5">
      <c r="A24" t="s">
        <v>1388</v>
      </c>
      <c r="B24" s="2">
        <v>10195000</v>
      </c>
      <c r="D24" t="s">
        <v>670</v>
      </c>
      <c r="E24" s="2">
        <v>900000</v>
      </c>
    </row>
    <row r="25" spans="1:5">
      <c r="A25" t="s">
        <v>1389</v>
      </c>
      <c r="B25" s="2">
        <v>11305000</v>
      </c>
      <c r="D25" t="s">
        <v>658</v>
      </c>
      <c r="E25" s="2">
        <v>810000</v>
      </c>
    </row>
    <row r="26" spans="1:5">
      <c r="A26" t="s">
        <v>1379</v>
      </c>
      <c r="B26" s="2">
        <v>724952500</v>
      </c>
      <c r="D26" t="s">
        <v>842</v>
      </c>
      <c r="E26" s="2">
        <v>800000</v>
      </c>
    </row>
    <row r="27" spans="4:5">
      <c r="D27" t="s">
        <v>702</v>
      </c>
      <c r="E27" s="2">
        <v>800000</v>
      </c>
    </row>
    <row r="28" spans="4:5">
      <c r="D28" t="s">
        <v>1011</v>
      </c>
      <c r="E28" s="2">
        <v>750000</v>
      </c>
    </row>
    <row r="29" spans="4:5">
      <c r="D29" t="s">
        <v>648</v>
      </c>
      <c r="E29" s="2">
        <v>750000</v>
      </c>
    </row>
    <row r="30" spans="4:5">
      <c r="D30" t="s">
        <v>788</v>
      </c>
      <c r="E30" s="2">
        <v>720000</v>
      </c>
    </row>
    <row r="31" spans="4:5">
      <c r="D31" t="s">
        <v>692</v>
      </c>
      <c r="E31" s="2">
        <v>720000</v>
      </c>
    </row>
    <row r="32" spans="4:5">
      <c r="D32" t="s">
        <v>710</v>
      </c>
      <c r="E32" s="2">
        <v>675000</v>
      </c>
    </row>
    <row r="33" spans="4:5">
      <c r="D33" t="s">
        <v>684</v>
      </c>
      <c r="E33" s="2">
        <v>625000</v>
      </c>
    </row>
    <row r="34" spans="4:5">
      <c r="D34" t="s">
        <v>768</v>
      </c>
      <c r="E34" s="2">
        <v>600000</v>
      </c>
    </row>
    <row r="35" spans="4:5">
      <c r="D35" t="s">
        <v>700</v>
      </c>
      <c r="E35" s="2">
        <v>600000</v>
      </c>
    </row>
    <row r="36" spans="4:5">
      <c r="D36" t="s">
        <v>858</v>
      </c>
      <c r="E36" s="2">
        <v>560000</v>
      </c>
    </row>
    <row r="37" spans="4:5">
      <c r="D37" t="s">
        <v>722</v>
      </c>
      <c r="E37" s="2">
        <v>560000</v>
      </c>
    </row>
    <row r="38" spans="4:5">
      <c r="D38" t="s">
        <v>660</v>
      </c>
      <c r="E38" s="2">
        <v>525000</v>
      </c>
    </row>
    <row r="39" spans="4:5">
      <c r="D39" t="s">
        <v>666</v>
      </c>
      <c r="E39" s="2">
        <v>500000</v>
      </c>
    </row>
    <row r="40" spans="4:5">
      <c r="D40" t="s">
        <v>882</v>
      </c>
      <c r="E40" s="2">
        <v>500000</v>
      </c>
    </row>
    <row r="41" spans="4:5">
      <c r="D41" t="s">
        <v>778</v>
      </c>
      <c r="E41" s="2">
        <v>500000</v>
      </c>
    </row>
    <row r="42" spans="4:5">
      <c r="D42" t="s">
        <v>742</v>
      </c>
      <c r="E42" s="2">
        <v>480000</v>
      </c>
    </row>
    <row r="43" spans="4:5">
      <c r="D43" t="s">
        <v>712</v>
      </c>
      <c r="E43" s="2">
        <v>480000</v>
      </c>
    </row>
    <row r="44" spans="4:5">
      <c r="D44" t="s">
        <v>674</v>
      </c>
      <c r="E44" s="2">
        <v>450000</v>
      </c>
    </row>
    <row r="45" spans="4:5">
      <c r="D45" t="s">
        <v>802</v>
      </c>
      <c r="E45" s="2">
        <v>450000</v>
      </c>
    </row>
    <row r="46" spans="4:5">
      <c r="D46" t="s">
        <v>696</v>
      </c>
      <c r="E46" s="2">
        <v>420000</v>
      </c>
    </row>
    <row r="47" spans="4:5">
      <c r="D47" t="s">
        <v>668</v>
      </c>
      <c r="E47" s="2">
        <v>420000</v>
      </c>
    </row>
    <row r="48" spans="4:5">
      <c r="D48" t="s">
        <v>910</v>
      </c>
      <c r="E48" s="2">
        <v>420000</v>
      </c>
    </row>
    <row r="49" spans="4:5">
      <c r="D49" t="s">
        <v>874</v>
      </c>
      <c r="E49" s="2">
        <v>420000</v>
      </c>
    </row>
    <row r="50" spans="4:5">
      <c r="D50" t="s">
        <v>850</v>
      </c>
      <c r="E50" s="2">
        <v>400000</v>
      </c>
    </row>
    <row r="51" spans="4:5">
      <c r="D51" t="s">
        <v>37</v>
      </c>
      <c r="E51" s="2">
        <v>400000</v>
      </c>
    </row>
    <row r="52" spans="4:5">
      <c r="D52" t="s">
        <v>644</v>
      </c>
      <c r="E52" s="2">
        <v>400000</v>
      </c>
    </row>
    <row r="53" spans="4:5">
      <c r="D53" t="s">
        <v>844</v>
      </c>
      <c r="E53" s="2">
        <v>400000</v>
      </c>
    </row>
    <row r="54" spans="4:5">
      <c r="D54" t="s">
        <v>999</v>
      </c>
      <c r="E54" s="2">
        <v>400000</v>
      </c>
    </row>
    <row r="55" spans="4:5">
      <c r="D55" t="s">
        <v>894</v>
      </c>
      <c r="E55" s="2">
        <v>400000</v>
      </c>
    </row>
    <row r="56" spans="4:5">
      <c r="D56" t="s">
        <v>56</v>
      </c>
      <c r="E56" s="2">
        <v>375000</v>
      </c>
    </row>
    <row r="57" spans="4:5">
      <c r="D57" t="s">
        <v>48</v>
      </c>
      <c r="E57" s="2">
        <v>375000</v>
      </c>
    </row>
    <row r="58" spans="4:5">
      <c r="D58" t="s">
        <v>772</v>
      </c>
      <c r="E58" s="2">
        <v>360000</v>
      </c>
    </row>
    <row r="59" spans="4:5">
      <c r="D59" t="s">
        <v>794</v>
      </c>
      <c r="E59" s="2">
        <v>360000</v>
      </c>
    </row>
    <row r="60" spans="4:5">
      <c r="D60" t="s">
        <v>736</v>
      </c>
      <c r="E60" s="2">
        <v>360000</v>
      </c>
    </row>
    <row r="61" spans="4:5">
      <c r="D61" t="s">
        <v>654</v>
      </c>
      <c r="E61" s="2">
        <v>360000</v>
      </c>
    </row>
    <row r="62" spans="4:5">
      <c r="D62" t="s">
        <v>1221</v>
      </c>
      <c r="E62" s="2">
        <v>360000</v>
      </c>
    </row>
    <row r="63" spans="4:5">
      <c r="D63" t="s">
        <v>766</v>
      </c>
      <c r="E63" s="2">
        <v>350000</v>
      </c>
    </row>
    <row r="64" spans="4:5">
      <c r="D64" t="s">
        <v>810</v>
      </c>
      <c r="E64" s="2">
        <v>320000</v>
      </c>
    </row>
    <row r="65" spans="4:5">
      <c r="D65" t="s">
        <v>938</v>
      </c>
      <c r="E65" s="2">
        <v>320000</v>
      </c>
    </row>
    <row r="66" spans="4:5">
      <c r="D66" t="s">
        <v>826</v>
      </c>
      <c r="E66" s="2">
        <v>300000</v>
      </c>
    </row>
    <row r="67" spans="4:5">
      <c r="D67" t="s">
        <v>140</v>
      </c>
      <c r="E67" s="2">
        <v>300000</v>
      </c>
    </row>
    <row r="68" spans="4:5">
      <c r="D68" t="s">
        <v>704</v>
      </c>
      <c r="E68" s="2">
        <v>300000</v>
      </c>
    </row>
    <row r="69" spans="4:5">
      <c r="D69" t="s">
        <v>774</v>
      </c>
      <c r="E69" s="2">
        <v>300000</v>
      </c>
    </row>
    <row r="70" spans="4:5">
      <c r="D70" t="s">
        <v>930</v>
      </c>
      <c r="E70" s="2">
        <v>300000</v>
      </c>
    </row>
    <row r="71" spans="4:5">
      <c r="D71" t="s">
        <v>760</v>
      </c>
      <c r="E71" s="2">
        <v>300000</v>
      </c>
    </row>
    <row r="72" spans="4:5">
      <c r="D72" t="s">
        <v>734</v>
      </c>
      <c r="E72" s="2">
        <v>300000</v>
      </c>
    </row>
    <row r="73" spans="4:5">
      <c r="D73" t="s">
        <v>694</v>
      </c>
      <c r="E73" s="2">
        <v>281250</v>
      </c>
    </row>
    <row r="74" spans="4:5">
      <c r="D74" t="s">
        <v>678</v>
      </c>
      <c r="E74" s="2">
        <v>270000</v>
      </c>
    </row>
    <row r="75" spans="4:5">
      <c r="D75" t="s">
        <v>846</v>
      </c>
      <c r="E75" s="2">
        <v>250000</v>
      </c>
    </row>
    <row r="76" spans="4:5">
      <c r="D76" t="s">
        <v>752</v>
      </c>
      <c r="E76" s="2">
        <v>250000</v>
      </c>
    </row>
    <row r="77" spans="4:5">
      <c r="D77" t="s">
        <v>23</v>
      </c>
      <c r="E77" s="2">
        <v>250000</v>
      </c>
    </row>
    <row r="78" spans="4:5">
      <c r="D78" t="s">
        <v>798</v>
      </c>
      <c r="E78" s="2">
        <v>250000</v>
      </c>
    </row>
    <row r="79" spans="4:5">
      <c r="D79" t="s">
        <v>922</v>
      </c>
      <c r="E79" s="2">
        <v>250000</v>
      </c>
    </row>
    <row r="80" spans="4:5">
      <c r="D80" t="s">
        <v>726</v>
      </c>
      <c r="E80" s="2">
        <v>250000</v>
      </c>
    </row>
    <row r="81" spans="4:5">
      <c r="D81" t="s">
        <v>832</v>
      </c>
      <c r="E81" s="2">
        <v>250000</v>
      </c>
    </row>
    <row r="82" spans="4:5">
      <c r="D82" t="s">
        <v>690</v>
      </c>
      <c r="E82" s="2">
        <v>240000</v>
      </c>
    </row>
    <row r="83" spans="4:5">
      <c r="D83" t="s">
        <v>708</v>
      </c>
      <c r="E83" s="2">
        <v>240000</v>
      </c>
    </row>
    <row r="84" spans="4:5">
      <c r="D84" t="s">
        <v>746</v>
      </c>
      <c r="E84" s="2">
        <v>240000</v>
      </c>
    </row>
    <row r="85" spans="4:5">
      <c r="D85" t="s">
        <v>1023</v>
      </c>
      <c r="E85" s="2">
        <v>240000</v>
      </c>
    </row>
    <row r="86" spans="4:5">
      <c r="D86" t="s">
        <v>698</v>
      </c>
      <c r="E86" s="2">
        <v>225000</v>
      </c>
    </row>
    <row r="87" spans="4:5">
      <c r="D87" t="s">
        <v>744</v>
      </c>
      <c r="E87" s="2">
        <v>225000</v>
      </c>
    </row>
    <row r="88" spans="4:5">
      <c r="D88" t="s">
        <v>652</v>
      </c>
      <c r="E88" s="2">
        <v>225000</v>
      </c>
    </row>
    <row r="89" spans="4:5">
      <c r="D89" t="s">
        <v>118</v>
      </c>
      <c r="E89" s="2">
        <v>225000</v>
      </c>
    </row>
    <row r="90" spans="4:5">
      <c r="D90" t="s">
        <v>82</v>
      </c>
      <c r="E90" s="2">
        <v>216000</v>
      </c>
    </row>
    <row r="91" spans="4:5">
      <c r="D91" t="s">
        <v>152</v>
      </c>
      <c r="E91" s="2">
        <v>216000</v>
      </c>
    </row>
    <row r="92" spans="4:5">
      <c r="D92" t="s">
        <v>754</v>
      </c>
      <c r="E92" s="2">
        <v>210000</v>
      </c>
    </row>
    <row r="93" spans="4:5">
      <c r="D93" t="s">
        <v>738</v>
      </c>
      <c r="E93" s="2">
        <v>202500</v>
      </c>
    </row>
    <row r="94" spans="4:5">
      <c r="D94" t="s">
        <v>790</v>
      </c>
      <c r="E94" s="2">
        <v>202500</v>
      </c>
    </row>
    <row r="95" spans="4:5">
      <c r="D95" t="s">
        <v>948</v>
      </c>
      <c r="E95" s="2">
        <v>200000</v>
      </c>
    </row>
    <row r="96" spans="4:5">
      <c r="D96" t="s">
        <v>105</v>
      </c>
      <c r="E96" s="2">
        <v>200000</v>
      </c>
    </row>
    <row r="97" spans="4:5">
      <c r="D97" t="s">
        <v>784</v>
      </c>
      <c r="E97" s="2">
        <v>200000</v>
      </c>
    </row>
    <row r="98" spans="4:5">
      <c r="D98" t="s">
        <v>161</v>
      </c>
      <c r="E98" s="2">
        <v>200000</v>
      </c>
    </row>
    <row r="99" spans="4:5">
      <c r="D99" t="s">
        <v>250</v>
      </c>
      <c r="E99" s="2">
        <v>200000</v>
      </c>
    </row>
    <row r="100" spans="4:5">
      <c r="D100" t="s">
        <v>975</v>
      </c>
      <c r="E100" s="2">
        <v>200000</v>
      </c>
    </row>
    <row r="101" spans="4:5">
      <c r="D101" t="s">
        <v>686</v>
      </c>
      <c r="E101" s="2">
        <v>187500</v>
      </c>
    </row>
    <row r="102" spans="4:5">
      <c r="D102" t="s">
        <v>782</v>
      </c>
      <c r="E102" s="2">
        <v>180000</v>
      </c>
    </row>
    <row r="103" spans="4:5">
      <c r="D103" t="s">
        <v>52</v>
      </c>
      <c r="E103" s="2">
        <v>180000</v>
      </c>
    </row>
    <row r="104" spans="4:5">
      <c r="D104" t="s">
        <v>185</v>
      </c>
      <c r="E104" s="2">
        <v>180000</v>
      </c>
    </row>
    <row r="105" spans="4:5">
      <c r="D105" t="s">
        <v>866</v>
      </c>
      <c r="E105" s="2">
        <v>180000</v>
      </c>
    </row>
    <row r="106" spans="4:5">
      <c r="D106" t="s">
        <v>963</v>
      </c>
      <c r="E106" s="2">
        <v>180000</v>
      </c>
    </row>
    <row r="107" spans="4:5">
      <c r="D107" t="s">
        <v>131</v>
      </c>
      <c r="E107" s="2">
        <v>180000</v>
      </c>
    </row>
    <row r="108" spans="4:5">
      <c r="D108" t="s">
        <v>238</v>
      </c>
      <c r="E108" s="2">
        <v>175000</v>
      </c>
    </row>
    <row r="109" spans="4:5">
      <c r="D109" t="s">
        <v>828</v>
      </c>
      <c r="E109" s="2">
        <v>160000</v>
      </c>
    </row>
    <row r="110" spans="4:5">
      <c r="D110" t="s">
        <v>716</v>
      </c>
      <c r="E110" s="2">
        <v>160000</v>
      </c>
    </row>
    <row r="111" spans="4:5">
      <c r="D111" t="s">
        <v>926</v>
      </c>
      <c r="E111" s="2">
        <v>160000</v>
      </c>
    </row>
    <row r="112" spans="4:5">
      <c r="D112" t="s">
        <v>800</v>
      </c>
      <c r="E112" s="2">
        <v>160000</v>
      </c>
    </row>
    <row r="113" spans="4:5">
      <c r="D113" t="s">
        <v>892</v>
      </c>
      <c r="E113" s="2">
        <v>160000</v>
      </c>
    </row>
    <row r="114" spans="4:5">
      <c r="D114" t="s">
        <v>102</v>
      </c>
      <c r="E114" s="2">
        <v>160000</v>
      </c>
    </row>
    <row r="115" spans="4:5">
      <c r="D115" t="s">
        <v>44</v>
      </c>
      <c r="E115" s="2">
        <v>160000</v>
      </c>
    </row>
    <row r="116" spans="4:5">
      <c r="D116" t="s">
        <v>1035</v>
      </c>
      <c r="E116" s="2">
        <v>160000</v>
      </c>
    </row>
    <row r="117" spans="4:5">
      <c r="D117" t="s">
        <v>987</v>
      </c>
      <c r="E117" s="2">
        <v>160000</v>
      </c>
    </row>
    <row r="118" spans="4:5">
      <c r="D118" t="s">
        <v>951</v>
      </c>
      <c r="E118" s="2">
        <v>160000</v>
      </c>
    </row>
    <row r="119" spans="4:5">
      <c r="D119" t="s">
        <v>262</v>
      </c>
      <c r="E119" s="2">
        <v>154000</v>
      </c>
    </row>
    <row r="120" spans="4:5">
      <c r="D120" t="s">
        <v>85</v>
      </c>
      <c r="E120" s="2">
        <v>150000</v>
      </c>
    </row>
    <row r="121" spans="4:5">
      <c r="D121" t="s">
        <v>770</v>
      </c>
      <c r="E121" s="2">
        <v>150000</v>
      </c>
    </row>
    <row r="122" spans="4:5">
      <c r="D122" t="s">
        <v>307</v>
      </c>
      <c r="E122" s="2">
        <v>150000</v>
      </c>
    </row>
    <row r="123" spans="4:5">
      <c r="D123" t="s">
        <v>59</v>
      </c>
      <c r="E123" s="2">
        <v>150000</v>
      </c>
    </row>
    <row r="124" spans="4:5">
      <c r="D124" t="s">
        <v>69</v>
      </c>
      <c r="E124" s="2">
        <v>150000</v>
      </c>
    </row>
    <row r="125" spans="4:5">
      <c r="D125" t="s">
        <v>430</v>
      </c>
      <c r="E125" s="2">
        <v>150000</v>
      </c>
    </row>
    <row r="126" spans="4:5">
      <c r="D126" t="s">
        <v>824</v>
      </c>
      <c r="E126" s="2">
        <v>144000</v>
      </c>
    </row>
    <row r="127" spans="4:5">
      <c r="D127" t="s">
        <v>792</v>
      </c>
      <c r="E127" s="2">
        <v>144000</v>
      </c>
    </row>
    <row r="128" spans="4:5">
      <c r="D128" t="s">
        <v>358</v>
      </c>
      <c r="E128" s="2">
        <v>140000</v>
      </c>
    </row>
    <row r="129" spans="4:5">
      <c r="D129" t="s">
        <v>424</v>
      </c>
      <c r="E129" s="2">
        <v>140000</v>
      </c>
    </row>
    <row r="130" spans="4:5">
      <c r="D130" t="s">
        <v>229</v>
      </c>
      <c r="E130" s="2">
        <v>140000</v>
      </c>
    </row>
    <row r="131" spans="4:5">
      <c r="D131" t="s">
        <v>806</v>
      </c>
      <c r="E131" s="2">
        <v>135000</v>
      </c>
    </row>
    <row r="132" spans="4:5">
      <c r="D132" t="s">
        <v>796</v>
      </c>
      <c r="E132" s="2">
        <v>135000</v>
      </c>
    </row>
    <row r="133" spans="4:5">
      <c r="D133" t="s">
        <v>30</v>
      </c>
      <c r="E133" s="2">
        <v>135000</v>
      </c>
    </row>
    <row r="134" spans="4:5">
      <c r="D134" t="s">
        <v>718</v>
      </c>
      <c r="E134" s="2">
        <v>135000</v>
      </c>
    </row>
    <row r="135" spans="4:5">
      <c r="D135" t="s">
        <v>182</v>
      </c>
      <c r="E135" s="2">
        <v>132000</v>
      </c>
    </row>
    <row r="136" spans="4:5">
      <c r="D136" t="s">
        <v>149</v>
      </c>
      <c r="E136" s="2">
        <v>126000</v>
      </c>
    </row>
    <row r="137" spans="4:5">
      <c r="D137" t="s">
        <v>319</v>
      </c>
      <c r="E137" s="2">
        <v>126000</v>
      </c>
    </row>
    <row r="138" spans="4:5">
      <c r="D138" t="s">
        <v>66</v>
      </c>
      <c r="E138" s="2">
        <v>125000</v>
      </c>
    </row>
    <row r="139" spans="4:5">
      <c r="D139" t="s">
        <v>91</v>
      </c>
      <c r="E139" s="2">
        <v>125000</v>
      </c>
    </row>
    <row r="140" spans="4:5">
      <c r="D140" t="s">
        <v>98</v>
      </c>
      <c r="E140" s="2">
        <v>125000</v>
      </c>
    </row>
    <row r="141" spans="4:5">
      <c r="D141" t="s">
        <v>331</v>
      </c>
      <c r="E141" s="2">
        <v>125000</v>
      </c>
    </row>
    <row r="142" spans="4:5">
      <c r="D142" t="s">
        <v>194</v>
      </c>
      <c r="E142" s="2">
        <v>125000</v>
      </c>
    </row>
    <row r="143" spans="4:5">
      <c r="D143" t="s">
        <v>128</v>
      </c>
      <c r="E143" s="2">
        <v>120000</v>
      </c>
    </row>
    <row r="144" spans="4:5">
      <c r="D144" t="s">
        <v>76</v>
      </c>
      <c r="E144" s="2">
        <v>120000</v>
      </c>
    </row>
    <row r="145" spans="4:5">
      <c r="D145" t="s">
        <v>762</v>
      </c>
      <c r="E145" s="2">
        <v>120000</v>
      </c>
    </row>
    <row r="146" spans="4:5">
      <c r="D146" t="s">
        <v>295</v>
      </c>
      <c r="E146" s="2">
        <v>120000</v>
      </c>
    </row>
    <row r="147" spans="4:5">
      <c r="D147" t="s">
        <v>164</v>
      </c>
      <c r="E147" s="2">
        <v>120000</v>
      </c>
    </row>
    <row r="148" spans="4:5">
      <c r="D148" t="s">
        <v>271</v>
      </c>
      <c r="E148" s="2">
        <v>120000</v>
      </c>
    </row>
    <row r="149" spans="4:5">
      <c r="D149" t="s">
        <v>816</v>
      </c>
      <c r="E149" s="2">
        <v>120000</v>
      </c>
    </row>
    <row r="150" spans="4:5">
      <c r="D150" t="s">
        <v>1002</v>
      </c>
      <c r="E150" s="2">
        <v>120000</v>
      </c>
    </row>
    <row r="151" spans="4:5">
      <c r="D151" t="s">
        <v>890</v>
      </c>
      <c r="E151" s="2">
        <v>120000</v>
      </c>
    </row>
    <row r="152" spans="4:5">
      <c r="D152" t="s">
        <v>232</v>
      </c>
      <c r="E152" s="2">
        <v>120000</v>
      </c>
    </row>
    <row r="153" spans="4:5">
      <c r="D153" t="s">
        <v>934</v>
      </c>
      <c r="E153" s="2">
        <v>120000</v>
      </c>
    </row>
    <row r="154" spans="4:5">
      <c r="D154" t="s">
        <v>143</v>
      </c>
      <c r="E154" s="2">
        <v>112500</v>
      </c>
    </row>
    <row r="155" spans="4:5">
      <c r="D155" t="s">
        <v>235</v>
      </c>
      <c r="E155" s="2">
        <v>110000</v>
      </c>
    </row>
    <row r="156" spans="4:5">
      <c r="D156" t="s">
        <v>856</v>
      </c>
      <c r="E156" s="2">
        <v>108000</v>
      </c>
    </row>
    <row r="157" spans="4:5">
      <c r="D157" t="s">
        <v>942</v>
      </c>
      <c r="E157" s="2">
        <v>108000</v>
      </c>
    </row>
    <row r="158" spans="4:5">
      <c r="D158" t="s">
        <v>108</v>
      </c>
      <c r="E158" s="2">
        <v>105000</v>
      </c>
    </row>
    <row r="159" spans="4:5">
      <c r="D159" t="s">
        <v>79</v>
      </c>
      <c r="E159" s="2">
        <v>101250</v>
      </c>
    </row>
    <row r="160" spans="4:5">
      <c r="D160" t="s">
        <v>170</v>
      </c>
      <c r="E160" s="2">
        <v>100000</v>
      </c>
    </row>
    <row r="161" spans="4:5">
      <c r="D161" t="s">
        <v>124</v>
      </c>
      <c r="E161" s="2">
        <v>100000</v>
      </c>
    </row>
    <row r="162" spans="4:5">
      <c r="D162" t="s">
        <v>902</v>
      </c>
      <c r="E162" s="2">
        <v>100000</v>
      </c>
    </row>
    <row r="163" spans="4:5">
      <c r="D163" t="s">
        <v>804</v>
      </c>
      <c r="E163" s="2">
        <v>100000</v>
      </c>
    </row>
    <row r="164" spans="4:5">
      <c r="D164" t="s">
        <v>898</v>
      </c>
      <c r="E164" s="2">
        <v>100000</v>
      </c>
    </row>
    <row r="165" spans="4:5">
      <c r="D165" t="s">
        <v>914</v>
      </c>
      <c r="E165" s="2">
        <v>100000</v>
      </c>
    </row>
    <row r="166" spans="4:5">
      <c r="D166" t="s">
        <v>176</v>
      </c>
      <c r="E166" s="2">
        <v>100000</v>
      </c>
    </row>
    <row r="167" spans="4:5">
      <c r="D167" t="s">
        <v>957</v>
      </c>
      <c r="E167" s="2">
        <v>100000</v>
      </c>
    </row>
    <row r="168" spans="4:5">
      <c r="D168" t="s">
        <v>343</v>
      </c>
      <c r="E168" s="2">
        <v>97500</v>
      </c>
    </row>
    <row r="169" spans="4:5">
      <c r="D169" t="s">
        <v>355</v>
      </c>
      <c r="E169" s="2">
        <v>96000</v>
      </c>
    </row>
    <row r="170" spans="4:5">
      <c r="D170" t="s">
        <v>906</v>
      </c>
      <c r="E170" s="2">
        <v>96000</v>
      </c>
    </row>
    <row r="171" spans="4:5">
      <c r="D171" t="s">
        <v>748</v>
      </c>
      <c r="E171" s="2">
        <v>93750</v>
      </c>
    </row>
    <row r="172" spans="4:5">
      <c r="D172" t="s">
        <v>728</v>
      </c>
      <c r="E172" s="2">
        <v>90000</v>
      </c>
    </row>
    <row r="173" spans="4:5">
      <c r="D173" t="s">
        <v>904</v>
      </c>
      <c r="E173" s="2">
        <v>90000</v>
      </c>
    </row>
    <row r="174" spans="4:5">
      <c r="D174" t="s">
        <v>205</v>
      </c>
      <c r="E174" s="2">
        <v>90000</v>
      </c>
    </row>
    <row r="175" spans="4:5">
      <c r="D175" t="s">
        <v>247</v>
      </c>
      <c r="E175" s="2">
        <v>90000</v>
      </c>
    </row>
    <row r="176" spans="4:5">
      <c r="D176" t="s">
        <v>1224</v>
      </c>
      <c r="E176" s="2">
        <v>90000</v>
      </c>
    </row>
    <row r="177" spans="4:5">
      <c r="D177" t="s">
        <v>812</v>
      </c>
      <c r="E177" s="2">
        <v>90000</v>
      </c>
    </row>
    <row r="178" spans="4:5">
      <c r="D178" t="s">
        <v>860</v>
      </c>
      <c r="E178" s="2">
        <v>90000</v>
      </c>
    </row>
    <row r="179" spans="4:5">
      <c r="D179" t="s">
        <v>167</v>
      </c>
      <c r="E179" s="2">
        <v>90000</v>
      </c>
    </row>
    <row r="180" spans="4:5">
      <c r="D180" t="s">
        <v>217</v>
      </c>
      <c r="E180" s="2">
        <v>90000</v>
      </c>
    </row>
    <row r="181" spans="4:5">
      <c r="D181" t="s">
        <v>146</v>
      </c>
      <c r="E181" s="2">
        <v>90000</v>
      </c>
    </row>
    <row r="182" spans="4:5">
      <c r="D182" t="s">
        <v>95</v>
      </c>
      <c r="E182" s="2">
        <v>90000</v>
      </c>
    </row>
    <row r="183" spans="4:5">
      <c r="D183" t="s">
        <v>764</v>
      </c>
      <c r="E183" s="2">
        <v>90000</v>
      </c>
    </row>
    <row r="184" spans="4:5">
      <c r="D184" t="s">
        <v>808</v>
      </c>
      <c r="E184" s="2">
        <v>90000</v>
      </c>
    </row>
    <row r="185" spans="4:5">
      <c r="D185" t="s">
        <v>63</v>
      </c>
      <c r="E185" s="2">
        <v>90000</v>
      </c>
    </row>
    <row r="186" spans="4:5">
      <c r="D186" t="s">
        <v>740</v>
      </c>
      <c r="E186" s="2">
        <v>90000</v>
      </c>
    </row>
    <row r="187" spans="4:5">
      <c r="D187" t="s">
        <v>179</v>
      </c>
      <c r="E187" s="2">
        <v>90000</v>
      </c>
    </row>
    <row r="188" spans="4:5">
      <c r="D188" t="s">
        <v>379</v>
      </c>
      <c r="E188" s="2">
        <v>90000</v>
      </c>
    </row>
    <row r="189" spans="4:5">
      <c r="D189" t="s">
        <v>854</v>
      </c>
      <c r="E189" s="2">
        <v>90000</v>
      </c>
    </row>
    <row r="190" spans="4:5">
      <c r="D190" t="s">
        <v>499</v>
      </c>
      <c r="E190" s="2">
        <v>87500</v>
      </c>
    </row>
    <row r="191" spans="4:5">
      <c r="D191" t="s">
        <v>200</v>
      </c>
      <c r="E191" s="2">
        <v>87500</v>
      </c>
    </row>
    <row r="192" spans="4:5">
      <c r="D192" t="s">
        <v>1053</v>
      </c>
      <c r="E192" s="2">
        <v>84000</v>
      </c>
    </row>
    <row r="193" spans="4:5">
      <c r="D193" t="s">
        <v>640</v>
      </c>
      <c r="E193" s="2">
        <v>84000</v>
      </c>
    </row>
    <row r="194" spans="4:5">
      <c r="D194" t="s">
        <v>115</v>
      </c>
      <c r="E194" s="2">
        <v>82500</v>
      </c>
    </row>
    <row r="195" spans="4:5">
      <c r="D195" t="s">
        <v>197</v>
      </c>
      <c r="E195" s="2">
        <v>80000</v>
      </c>
    </row>
    <row r="196" spans="4:5">
      <c r="D196" t="s">
        <v>1272</v>
      </c>
      <c r="E196" s="2">
        <v>80000</v>
      </c>
    </row>
    <row r="197" spans="4:5">
      <c r="D197" t="s">
        <v>134</v>
      </c>
      <c r="E197" s="2">
        <v>80000</v>
      </c>
    </row>
    <row r="198" spans="4:5">
      <c r="D198" t="s">
        <v>283</v>
      </c>
      <c r="E198" s="2">
        <v>80000</v>
      </c>
    </row>
    <row r="199" spans="4:5">
      <c r="D199" t="s">
        <v>1209</v>
      </c>
      <c r="E199" s="2">
        <v>80000</v>
      </c>
    </row>
    <row r="200" spans="4:5">
      <c r="D200" t="s">
        <v>73</v>
      </c>
      <c r="E200" s="2">
        <v>80000</v>
      </c>
    </row>
    <row r="201" spans="4:5">
      <c r="D201" t="s">
        <v>211</v>
      </c>
      <c r="E201" s="2">
        <v>80000</v>
      </c>
    </row>
    <row r="202" spans="4:5">
      <c r="D202" t="s">
        <v>940</v>
      </c>
      <c r="E202" s="2">
        <v>80000</v>
      </c>
    </row>
    <row r="203" spans="4:5">
      <c r="D203" t="s">
        <v>868</v>
      </c>
      <c r="E203" s="2">
        <v>80000</v>
      </c>
    </row>
    <row r="204" spans="4:5">
      <c r="D204" t="s">
        <v>1227</v>
      </c>
      <c r="E204" s="2">
        <v>80000</v>
      </c>
    </row>
    <row r="205" spans="4:5">
      <c r="D205" t="s">
        <v>514</v>
      </c>
      <c r="E205" s="2">
        <v>80000</v>
      </c>
    </row>
    <row r="206" spans="4:5">
      <c r="D206" t="s">
        <v>1070</v>
      </c>
      <c r="E206" s="2">
        <v>80000</v>
      </c>
    </row>
    <row r="207" spans="4:5">
      <c r="D207" t="s">
        <v>1302</v>
      </c>
      <c r="E207" s="2">
        <v>80000</v>
      </c>
    </row>
    <row r="208" spans="4:5">
      <c r="D208" t="s">
        <v>88</v>
      </c>
      <c r="E208" s="2">
        <v>78750</v>
      </c>
    </row>
    <row r="209" spans="4:5">
      <c r="D209" t="s">
        <v>814</v>
      </c>
      <c r="E209" s="2">
        <v>78750</v>
      </c>
    </row>
    <row r="210" spans="4:5">
      <c r="D210" t="s">
        <v>111</v>
      </c>
      <c r="E210" s="2">
        <v>78750</v>
      </c>
    </row>
    <row r="211" spans="4:5">
      <c r="D211" t="s">
        <v>954</v>
      </c>
      <c r="E211" s="2">
        <v>75000</v>
      </c>
    </row>
    <row r="212" spans="4:5">
      <c r="D212" t="s">
        <v>1158</v>
      </c>
      <c r="E212" s="2">
        <v>75000</v>
      </c>
    </row>
    <row r="213" spans="4:5">
      <c r="D213" t="s">
        <v>876</v>
      </c>
      <c r="E213" s="2">
        <v>75000</v>
      </c>
    </row>
    <row r="214" spans="4:5">
      <c r="D214" t="s">
        <v>848</v>
      </c>
      <c r="E214" s="2">
        <v>75000</v>
      </c>
    </row>
    <row r="215" spans="4:5">
      <c r="D215" t="s">
        <v>253</v>
      </c>
      <c r="E215" s="2">
        <v>75000</v>
      </c>
    </row>
    <row r="216" spans="4:5">
      <c r="D216" t="s">
        <v>822</v>
      </c>
      <c r="E216" s="2">
        <v>75000</v>
      </c>
    </row>
    <row r="217" spans="4:5">
      <c r="D217" t="s">
        <v>604</v>
      </c>
      <c r="E217" s="2">
        <v>75000</v>
      </c>
    </row>
    <row r="218" spans="4:5">
      <c r="D218" t="s">
        <v>265</v>
      </c>
      <c r="E218" s="2">
        <v>75000</v>
      </c>
    </row>
    <row r="219" spans="4:5">
      <c r="D219" t="s">
        <v>286</v>
      </c>
      <c r="E219" s="2">
        <v>75000</v>
      </c>
    </row>
    <row r="220" spans="4:5">
      <c r="D220" t="s">
        <v>840</v>
      </c>
      <c r="E220" s="2">
        <v>75000</v>
      </c>
    </row>
    <row r="221" spans="4:5">
      <c r="D221" t="s">
        <v>912</v>
      </c>
      <c r="E221" s="2">
        <v>72000</v>
      </c>
    </row>
    <row r="222" spans="4:5">
      <c r="D222" t="s">
        <v>616</v>
      </c>
      <c r="E222" s="2">
        <v>72000</v>
      </c>
    </row>
    <row r="223" spans="4:5">
      <c r="D223" t="s">
        <v>481</v>
      </c>
      <c r="E223" s="2">
        <v>72000</v>
      </c>
    </row>
    <row r="224" spans="4:5">
      <c r="D224" t="s">
        <v>316</v>
      </c>
      <c r="E224" s="2">
        <v>72000</v>
      </c>
    </row>
    <row r="225" spans="4:5">
      <c r="D225" t="s">
        <v>280</v>
      </c>
      <c r="E225" s="2">
        <v>72000</v>
      </c>
    </row>
    <row r="226" spans="4:5">
      <c r="D226" t="s">
        <v>155</v>
      </c>
      <c r="E226" s="2">
        <v>72000</v>
      </c>
    </row>
    <row r="227" spans="4:5">
      <c r="D227" t="s">
        <v>391</v>
      </c>
      <c r="E227" s="2">
        <v>72000</v>
      </c>
    </row>
    <row r="228" spans="4:5">
      <c r="D228" t="s">
        <v>920</v>
      </c>
      <c r="E228" s="2">
        <v>72000</v>
      </c>
    </row>
    <row r="229" spans="4:5">
      <c r="D229" t="s">
        <v>628</v>
      </c>
      <c r="E229" s="2">
        <v>71500</v>
      </c>
    </row>
    <row r="230" spans="4:5">
      <c r="D230" t="s">
        <v>586</v>
      </c>
      <c r="E230" s="2">
        <v>71500</v>
      </c>
    </row>
    <row r="231" spans="4:5">
      <c r="D231" t="s">
        <v>403</v>
      </c>
      <c r="E231" s="2">
        <v>70000</v>
      </c>
    </row>
    <row r="232" spans="4:5">
      <c r="D232" t="s">
        <v>568</v>
      </c>
      <c r="E232" s="2">
        <v>70000</v>
      </c>
    </row>
    <row r="233" spans="4:5">
      <c r="D233" t="s">
        <v>349</v>
      </c>
      <c r="E233" s="2">
        <v>70000</v>
      </c>
    </row>
    <row r="234" spans="4:5">
      <c r="D234" t="s">
        <v>786</v>
      </c>
      <c r="E234" s="2">
        <v>67500</v>
      </c>
    </row>
    <row r="235" spans="4:5">
      <c r="D235" t="s">
        <v>900</v>
      </c>
      <c r="E235" s="2">
        <v>67500</v>
      </c>
    </row>
    <row r="236" spans="4:5">
      <c r="D236" t="s">
        <v>361</v>
      </c>
      <c r="E236" s="2">
        <v>67500</v>
      </c>
    </row>
    <row r="237" spans="4:5">
      <c r="D237" t="s">
        <v>944</v>
      </c>
      <c r="E237" s="2">
        <v>67500</v>
      </c>
    </row>
    <row r="238" spans="4:5">
      <c r="D238" t="s">
        <v>1233</v>
      </c>
      <c r="E238" s="2">
        <v>67500</v>
      </c>
    </row>
    <row r="239" spans="4:5">
      <c r="D239" t="s">
        <v>214</v>
      </c>
      <c r="E239" s="2">
        <v>67500</v>
      </c>
    </row>
    <row r="240" spans="4:5">
      <c r="D240" t="s">
        <v>352</v>
      </c>
      <c r="E240" s="2">
        <v>67500</v>
      </c>
    </row>
    <row r="241" spans="4:5">
      <c r="D241" t="s">
        <v>409</v>
      </c>
      <c r="E241" s="2">
        <v>66000</v>
      </c>
    </row>
    <row r="242" spans="4:5">
      <c r="D242" t="s">
        <v>268</v>
      </c>
      <c r="E242" s="2">
        <v>65000</v>
      </c>
    </row>
    <row r="243" spans="4:5">
      <c r="D243" t="s">
        <v>505</v>
      </c>
      <c r="E243" s="2">
        <v>65000</v>
      </c>
    </row>
    <row r="244" spans="4:5">
      <c r="D244" t="s">
        <v>1236</v>
      </c>
      <c r="E244" s="2">
        <v>64000</v>
      </c>
    </row>
    <row r="245" spans="4:5">
      <c r="D245" t="s">
        <v>978</v>
      </c>
      <c r="E245" s="2">
        <v>64000</v>
      </c>
    </row>
    <row r="246" spans="4:5">
      <c r="D246" t="s">
        <v>862</v>
      </c>
      <c r="E246" s="2">
        <v>64000</v>
      </c>
    </row>
    <row r="247" spans="4:5">
      <c r="D247" t="s">
        <v>520</v>
      </c>
      <c r="E247" s="2">
        <v>64000</v>
      </c>
    </row>
    <row r="248" spans="4:5">
      <c r="D248" t="s">
        <v>756</v>
      </c>
      <c r="E248" s="2">
        <v>63000</v>
      </c>
    </row>
    <row r="249" spans="4:5">
      <c r="D249" t="s">
        <v>526</v>
      </c>
      <c r="E249" s="2">
        <v>62500</v>
      </c>
    </row>
    <row r="250" spans="4:5">
      <c r="D250" t="s">
        <v>1044</v>
      </c>
      <c r="E250" s="2">
        <v>60000</v>
      </c>
    </row>
    <row r="251" spans="4:5">
      <c r="D251" t="s">
        <v>298</v>
      </c>
      <c r="E251" s="2">
        <v>60000</v>
      </c>
    </row>
    <row r="252" spans="4:5">
      <c r="D252" t="s">
        <v>852</v>
      </c>
      <c r="E252" s="2">
        <v>60000</v>
      </c>
    </row>
    <row r="253" spans="4:5">
      <c r="D253" t="s">
        <v>412</v>
      </c>
      <c r="E253" s="2">
        <v>60000</v>
      </c>
    </row>
    <row r="254" spans="4:5">
      <c r="D254" t="s">
        <v>188</v>
      </c>
      <c r="E254" s="2">
        <v>60000</v>
      </c>
    </row>
    <row r="255" spans="4:5">
      <c r="D255" t="s">
        <v>121</v>
      </c>
      <c r="E255" s="2">
        <v>60000</v>
      </c>
    </row>
    <row r="256" spans="4:5">
      <c r="D256" t="s">
        <v>322</v>
      </c>
      <c r="E256" s="2">
        <v>60000</v>
      </c>
    </row>
    <row r="257" spans="4:5">
      <c r="D257" t="s">
        <v>1183</v>
      </c>
      <c r="E257" s="2">
        <v>60000</v>
      </c>
    </row>
    <row r="258" spans="4:5">
      <c r="D258" t="s">
        <v>472</v>
      </c>
      <c r="E258" s="2">
        <v>60000</v>
      </c>
    </row>
    <row r="259" spans="4:5">
      <c r="D259" t="s">
        <v>277</v>
      </c>
      <c r="E259" s="2">
        <v>60000</v>
      </c>
    </row>
    <row r="260" spans="4:5">
      <c r="D260" t="s">
        <v>776</v>
      </c>
      <c r="E260" s="2">
        <v>60000</v>
      </c>
    </row>
    <row r="261" spans="4:5">
      <c r="D261" t="s">
        <v>1263</v>
      </c>
      <c r="E261" s="2">
        <v>60000</v>
      </c>
    </row>
    <row r="262" spans="4:5">
      <c r="D262" t="s">
        <v>1094</v>
      </c>
      <c r="E262" s="2">
        <v>60000</v>
      </c>
    </row>
    <row r="263" spans="4:5">
      <c r="D263" t="s">
        <v>367</v>
      </c>
      <c r="E263" s="2">
        <v>60000</v>
      </c>
    </row>
    <row r="264" spans="4:5">
      <c r="D264" t="s">
        <v>448</v>
      </c>
      <c r="E264" s="2">
        <v>60000</v>
      </c>
    </row>
    <row r="265" spans="4:5">
      <c r="D265" t="s">
        <v>946</v>
      </c>
      <c r="E265" s="2">
        <v>60000</v>
      </c>
    </row>
    <row r="266" spans="4:5">
      <c r="D266" t="s">
        <v>427</v>
      </c>
      <c r="E266" s="2">
        <v>60000</v>
      </c>
    </row>
    <row r="267" spans="4:5">
      <c r="D267" t="s">
        <v>838</v>
      </c>
      <c r="E267" s="2">
        <v>60000</v>
      </c>
    </row>
    <row r="268" spans="4:5">
      <c r="D268" t="s">
        <v>918</v>
      </c>
      <c r="E268" s="2">
        <v>56250</v>
      </c>
    </row>
    <row r="269" spans="4:5">
      <c r="D269" t="s">
        <v>888</v>
      </c>
      <c r="E269" s="2">
        <v>56250</v>
      </c>
    </row>
    <row r="270" spans="4:5">
      <c r="D270" t="s">
        <v>1230</v>
      </c>
      <c r="E270" s="2">
        <v>56250</v>
      </c>
    </row>
    <row r="271" spans="4:5">
      <c r="D271" t="s">
        <v>259</v>
      </c>
      <c r="E271" s="2">
        <v>56250</v>
      </c>
    </row>
    <row r="272" spans="4:5">
      <c r="D272" t="s">
        <v>532</v>
      </c>
      <c r="E272" s="2">
        <v>56000</v>
      </c>
    </row>
    <row r="273" spans="4:5">
      <c r="D273" t="s">
        <v>137</v>
      </c>
      <c r="E273" s="2">
        <v>56000</v>
      </c>
    </row>
    <row r="274" spans="4:5">
      <c r="D274" t="s">
        <v>385</v>
      </c>
      <c r="E274" s="2">
        <v>55000</v>
      </c>
    </row>
    <row r="275" spans="4:5">
      <c r="D275" t="s">
        <v>493</v>
      </c>
      <c r="E275" s="2">
        <v>55000</v>
      </c>
    </row>
    <row r="276" spans="4:5">
      <c r="D276" t="s">
        <v>830</v>
      </c>
      <c r="E276" s="2">
        <v>54000</v>
      </c>
    </row>
    <row r="277" spans="4:5">
      <c r="D277" t="s">
        <v>475</v>
      </c>
      <c r="E277" s="2">
        <v>54000</v>
      </c>
    </row>
    <row r="278" spans="4:5">
      <c r="D278" t="s">
        <v>878</v>
      </c>
      <c r="E278" s="2">
        <v>54000</v>
      </c>
    </row>
    <row r="279" spans="4:5">
      <c r="D279" t="s">
        <v>928</v>
      </c>
      <c r="E279" s="2">
        <v>52500</v>
      </c>
    </row>
    <row r="280" spans="4:5">
      <c r="D280" t="s">
        <v>226</v>
      </c>
      <c r="E280" s="2">
        <v>52500</v>
      </c>
    </row>
    <row r="281" spans="4:5">
      <c r="D281" t="s">
        <v>1186</v>
      </c>
      <c r="E281" s="2">
        <v>50000</v>
      </c>
    </row>
    <row r="282" spans="4:5">
      <c r="D282" t="s">
        <v>1082</v>
      </c>
      <c r="E282" s="2">
        <v>50000</v>
      </c>
    </row>
    <row r="283" spans="4:5">
      <c r="D283" t="s">
        <v>870</v>
      </c>
      <c r="E283" s="2">
        <v>50000</v>
      </c>
    </row>
    <row r="284" spans="4:5">
      <c r="D284" t="s">
        <v>1297</v>
      </c>
      <c r="E284" s="2">
        <v>50000</v>
      </c>
    </row>
    <row r="285" spans="4:5">
      <c r="D285" t="s">
        <v>884</v>
      </c>
      <c r="E285" s="2">
        <v>50000</v>
      </c>
    </row>
    <row r="286" spans="4:5">
      <c r="D286" t="s">
        <v>544</v>
      </c>
      <c r="E286" s="2">
        <v>50000</v>
      </c>
    </row>
    <row r="287" spans="4:5">
      <c r="D287" t="s">
        <v>580</v>
      </c>
      <c r="E287" s="2">
        <v>50000</v>
      </c>
    </row>
    <row r="288" spans="4:5">
      <c r="D288" t="s">
        <v>208</v>
      </c>
      <c r="E288" s="2">
        <v>50000</v>
      </c>
    </row>
    <row r="289" spans="4:5">
      <c r="D289" t="s">
        <v>1058</v>
      </c>
      <c r="E289" s="2">
        <v>50000</v>
      </c>
    </row>
    <row r="290" spans="4:5">
      <c r="D290" t="s">
        <v>836</v>
      </c>
      <c r="E290" s="2">
        <v>50000</v>
      </c>
    </row>
    <row r="291" spans="4:5">
      <c r="D291" t="s">
        <v>1314</v>
      </c>
      <c r="E291" s="2">
        <v>50000</v>
      </c>
    </row>
    <row r="292" spans="4:5">
      <c r="D292" t="s">
        <v>1257</v>
      </c>
      <c r="E292" s="2">
        <v>50000</v>
      </c>
    </row>
    <row r="293" spans="4:5">
      <c r="D293" t="s">
        <v>173</v>
      </c>
      <c r="E293" s="2">
        <v>48000</v>
      </c>
    </row>
    <row r="294" spans="4:5">
      <c r="D294" t="s">
        <v>592</v>
      </c>
      <c r="E294" s="2">
        <v>48000</v>
      </c>
    </row>
    <row r="295" spans="4:5">
      <c r="D295" t="s">
        <v>511</v>
      </c>
      <c r="E295" s="2">
        <v>48000</v>
      </c>
    </row>
    <row r="296" spans="4:5">
      <c r="D296" t="s">
        <v>820</v>
      </c>
      <c r="E296" s="2">
        <v>48000</v>
      </c>
    </row>
    <row r="297" spans="4:5">
      <c r="D297" t="s">
        <v>241</v>
      </c>
      <c r="E297" s="2">
        <v>48000</v>
      </c>
    </row>
    <row r="298" spans="4:5">
      <c r="D298" t="s">
        <v>981</v>
      </c>
      <c r="E298" s="2">
        <v>48000</v>
      </c>
    </row>
    <row r="299" spans="4:5">
      <c r="D299" t="s">
        <v>1177</v>
      </c>
      <c r="E299" s="2">
        <v>48000</v>
      </c>
    </row>
    <row r="300" spans="4:5">
      <c r="D300" t="s">
        <v>1338</v>
      </c>
      <c r="E300" s="2">
        <v>48000</v>
      </c>
    </row>
    <row r="301" spans="4:5">
      <c r="D301" t="s">
        <v>1144</v>
      </c>
      <c r="E301" s="2">
        <v>48000</v>
      </c>
    </row>
    <row r="302" spans="4:5">
      <c r="D302" t="s">
        <v>382</v>
      </c>
      <c r="E302" s="2">
        <v>48000</v>
      </c>
    </row>
    <row r="303" spans="4:5">
      <c r="D303" t="s">
        <v>328</v>
      </c>
      <c r="E303" s="2">
        <v>47500</v>
      </c>
    </row>
    <row r="304" spans="4:5">
      <c r="D304" t="s">
        <v>1008</v>
      </c>
      <c r="E304" s="2">
        <v>45000</v>
      </c>
    </row>
    <row r="305" spans="4:5">
      <c r="D305" t="s">
        <v>301</v>
      </c>
      <c r="E305" s="2">
        <v>45000</v>
      </c>
    </row>
    <row r="306" spans="4:5">
      <c r="D306" t="s">
        <v>310</v>
      </c>
      <c r="E306" s="2">
        <v>45000</v>
      </c>
    </row>
    <row r="307" spans="4:5">
      <c r="D307" t="s">
        <v>1212</v>
      </c>
      <c r="E307" s="2">
        <v>45000</v>
      </c>
    </row>
    <row r="308" spans="4:5">
      <c r="D308" t="s">
        <v>256</v>
      </c>
      <c r="E308" s="2">
        <v>45000</v>
      </c>
    </row>
    <row r="309" spans="4:5">
      <c r="D309" t="s">
        <v>880</v>
      </c>
      <c r="E309" s="2">
        <v>45000</v>
      </c>
    </row>
    <row r="310" spans="4:5">
      <c r="D310" t="s">
        <v>924</v>
      </c>
      <c r="E310" s="2">
        <v>45000</v>
      </c>
    </row>
    <row r="311" spans="4:5">
      <c r="D311" t="s">
        <v>969</v>
      </c>
      <c r="E311" s="2">
        <v>45000</v>
      </c>
    </row>
    <row r="312" spans="4:5">
      <c r="D312" t="s">
        <v>1326</v>
      </c>
      <c r="E312" s="2">
        <v>45000</v>
      </c>
    </row>
    <row r="313" spans="4:5">
      <c r="D313" t="s">
        <v>346</v>
      </c>
      <c r="E313" s="2">
        <v>45000</v>
      </c>
    </row>
    <row r="314" spans="4:5">
      <c r="D314" t="s">
        <v>433</v>
      </c>
      <c r="E314" s="2">
        <v>45000</v>
      </c>
    </row>
    <row r="315" spans="4:5">
      <c r="D315" t="s">
        <v>220</v>
      </c>
      <c r="E315" s="2">
        <v>45000</v>
      </c>
    </row>
    <row r="316" spans="4:5">
      <c r="D316" t="s">
        <v>1132</v>
      </c>
      <c r="E316" s="2">
        <v>45000</v>
      </c>
    </row>
    <row r="317" spans="4:5">
      <c r="D317" t="s">
        <v>406</v>
      </c>
      <c r="E317" s="2">
        <v>45000</v>
      </c>
    </row>
    <row r="318" spans="4:5">
      <c r="D318" t="s">
        <v>1245</v>
      </c>
      <c r="E318" s="2">
        <v>45000</v>
      </c>
    </row>
    <row r="319" spans="4:5">
      <c r="D319" t="s">
        <v>370</v>
      </c>
      <c r="E319" s="2">
        <v>45000</v>
      </c>
    </row>
    <row r="320" spans="4:5">
      <c r="D320" t="s">
        <v>577</v>
      </c>
      <c r="E320" s="2">
        <v>45000</v>
      </c>
    </row>
    <row r="321" spans="4:5">
      <c r="D321" t="s">
        <v>864</v>
      </c>
      <c r="E321" s="2">
        <v>45000</v>
      </c>
    </row>
    <row r="322" spans="4:5">
      <c r="D322" t="s">
        <v>872</v>
      </c>
      <c r="E322" s="2">
        <v>45000</v>
      </c>
    </row>
    <row r="323" spans="4:5">
      <c r="D323" t="s">
        <v>244</v>
      </c>
      <c r="E323" s="2">
        <v>45000</v>
      </c>
    </row>
    <row r="324" spans="4:5">
      <c r="D324" t="s">
        <v>364</v>
      </c>
      <c r="E324" s="2">
        <v>45000</v>
      </c>
    </row>
    <row r="325" spans="4:5">
      <c r="D325" t="s">
        <v>1026</v>
      </c>
      <c r="E325" s="2">
        <v>45000</v>
      </c>
    </row>
    <row r="326" spans="4:5">
      <c r="D326" t="s">
        <v>601</v>
      </c>
      <c r="E326" s="2">
        <v>45000</v>
      </c>
    </row>
    <row r="327" spans="4:5">
      <c r="D327" t="s">
        <v>415</v>
      </c>
      <c r="E327" s="2">
        <v>43000</v>
      </c>
    </row>
    <row r="328" spans="4:5">
      <c r="D328" t="s">
        <v>337</v>
      </c>
      <c r="E328" s="2">
        <v>42500</v>
      </c>
    </row>
    <row r="329" spans="4:5">
      <c r="D329" t="s">
        <v>610</v>
      </c>
      <c r="E329" s="2">
        <v>42500</v>
      </c>
    </row>
    <row r="330" spans="4:5">
      <c r="D330" t="s">
        <v>1180</v>
      </c>
      <c r="E330" s="2">
        <v>42000</v>
      </c>
    </row>
    <row r="331" spans="4:5">
      <c r="D331" t="s">
        <v>1014</v>
      </c>
      <c r="E331" s="2">
        <v>42000</v>
      </c>
    </row>
    <row r="332" spans="4:5">
      <c r="D332" t="s">
        <v>340</v>
      </c>
      <c r="E332" s="2">
        <v>40500</v>
      </c>
    </row>
    <row r="333" spans="4:5">
      <c r="D333" t="s">
        <v>932</v>
      </c>
      <c r="E333" s="2">
        <v>40000</v>
      </c>
    </row>
    <row r="334" spans="4:5">
      <c r="D334" t="s">
        <v>886</v>
      </c>
      <c r="E334" s="2">
        <v>40000</v>
      </c>
    </row>
    <row r="335" spans="4:5">
      <c r="D335" t="s">
        <v>223</v>
      </c>
      <c r="E335" s="2">
        <v>40000</v>
      </c>
    </row>
    <row r="336" spans="4:5">
      <c r="D336" t="s">
        <v>1017</v>
      </c>
      <c r="E336" s="2">
        <v>40000</v>
      </c>
    </row>
    <row r="337" spans="4:5">
      <c r="D337" t="s">
        <v>454</v>
      </c>
      <c r="E337" s="2">
        <v>40000</v>
      </c>
    </row>
    <row r="338" spans="4:5">
      <c r="D338" t="s">
        <v>1189</v>
      </c>
      <c r="E338" s="2">
        <v>40000</v>
      </c>
    </row>
    <row r="339" spans="4:5">
      <c r="D339" t="s">
        <v>1061</v>
      </c>
      <c r="E339" s="2">
        <v>40000</v>
      </c>
    </row>
    <row r="340" spans="4:5">
      <c r="D340" t="s">
        <v>538</v>
      </c>
      <c r="E340" s="2">
        <v>40000</v>
      </c>
    </row>
    <row r="341" spans="4:5">
      <c r="D341" t="s">
        <v>1294</v>
      </c>
      <c r="E341" s="2">
        <v>40000</v>
      </c>
    </row>
    <row r="342" spans="4:5">
      <c r="D342" t="s">
        <v>990</v>
      </c>
      <c r="E342" s="2">
        <v>40000</v>
      </c>
    </row>
    <row r="343" spans="4:5">
      <c r="D343" t="s">
        <v>1100</v>
      </c>
      <c r="E343" s="2">
        <v>40000</v>
      </c>
    </row>
    <row r="344" spans="4:5">
      <c r="D344" t="s">
        <v>436</v>
      </c>
      <c r="E344" s="2">
        <v>40000</v>
      </c>
    </row>
    <row r="345" spans="4:5">
      <c r="D345" t="s">
        <v>1317</v>
      </c>
      <c r="E345" s="2">
        <v>40000</v>
      </c>
    </row>
    <row r="346" spans="4:5">
      <c r="D346" t="s">
        <v>1275</v>
      </c>
      <c r="E346" s="2">
        <v>40000</v>
      </c>
    </row>
    <row r="347" spans="4:5">
      <c r="D347" t="s">
        <v>1215</v>
      </c>
      <c r="E347" s="2">
        <v>40000</v>
      </c>
    </row>
    <row r="348" spans="4:5">
      <c r="D348" t="s">
        <v>487</v>
      </c>
      <c r="E348" s="2">
        <v>40000</v>
      </c>
    </row>
    <row r="349" spans="4:5">
      <c r="D349" t="s">
        <v>1129</v>
      </c>
      <c r="E349" s="2">
        <v>40000</v>
      </c>
    </row>
    <row r="350" spans="4:5">
      <c r="D350" t="s">
        <v>613</v>
      </c>
      <c r="E350" s="2">
        <v>40000</v>
      </c>
    </row>
    <row r="351" spans="4:5">
      <c r="D351" t="s">
        <v>553</v>
      </c>
      <c r="E351" s="2">
        <v>39000</v>
      </c>
    </row>
    <row r="352" spans="4:5">
      <c r="D352" t="s">
        <v>439</v>
      </c>
      <c r="E352" s="2">
        <v>37500</v>
      </c>
    </row>
    <row r="353" spans="4:5">
      <c r="D353" t="s">
        <v>896</v>
      </c>
      <c r="E353" s="2">
        <v>37500</v>
      </c>
    </row>
    <row r="354" spans="4:5">
      <c r="D354" t="s">
        <v>274</v>
      </c>
      <c r="E354" s="2">
        <v>37500</v>
      </c>
    </row>
    <row r="355" spans="4:5">
      <c r="D355" t="s">
        <v>908</v>
      </c>
      <c r="E355" s="2">
        <v>37500</v>
      </c>
    </row>
    <row r="356" spans="4:5">
      <c r="D356" t="s">
        <v>490</v>
      </c>
      <c r="E356" s="2">
        <v>37500</v>
      </c>
    </row>
    <row r="357" spans="4:5">
      <c r="D357" t="s">
        <v>565</v>
      </c>
      <c r="E357" s="2">
        <v>37500</v>
      </c>
    </row>
    <row r="358" spans="4:5">
      <c r="D358" t="s">
        <v>1067</v>
      </c>
      <c r="E358" s="2">
        <v>37500</v>
      </c>
    </row>
    <row r="359" spans="4:5">
      <c r="D359" t="s">
        <v>158</v>
      </c>
      <c r="E359" s="2">
        <v>37500</v>
      </c>
    </row>
    <row r="360" spans="4:5">
      <c r="D360" t="s">
        <v>376</v>
      </c>
      <c r="E360" s="2">
        <v>36750</v>
      </c>
    </row>
    <row r="361" spans="4:5">
      <c r="D361" t="s">
        <v>607</v>
      </c>
      <c r="E361" s="2">
        <v>36750</v>
      </c>
    </row>
    <row r="362" spans="4:5">
      <c r="D362" t="s">
        <v>191</v>
      </c>
      <c r="E362" s="2">
        <v>36000</v>
      </c>
    </row>
    <row r="363" spans="4:5">
      <c r="D363" t="s">
        <v>304</v>
      </c>
      <c r="E363" s="2">
        <v>36000</v>
      </c>
    </row>
    <row r="364" spans="4:5">
      <c r="D364" t="s">
        <v>469</v>
      </c>
      <c r="E364" s="2">
        <v>36000</v>
      </c>
    </row>
    <row r="365" spans="4:5">
      <c r="D365" t="s">
        <v>562</v>
      </c>
      <c r="E365" s="2">
        <v>36000</v>
      </c>
    </row>
    <row r="366" spans="4:5">
      <c r="D366" t="s">
        <v>960</v>
      </c>
      <c r="E366" s="2">
        <v>36000</v>
      </c>
    </row>
    <row r="367" spans="4:5">
      <c r="D367" t="s">
        <v>1248</v>
      </c>
      <c r="E367" s="2">
        <v>36000</v>
      </c>
    </row>
    <row r="368" spans="4:5">
      <c r="D368" t="s">
        <v>966</v>
      </c>
      <c r="E368" s="2">
        <v>36000</v>
      </c>
    </row>
    <row r="369" spans="4:5">
      <c r="D369" t="s">
        <v>1260</v>
      </c>
      <c r="E369" s="2">
        <v>36000</v>
      </c>
    </row>
    <row r="370" spans="4:5">
      <c r="D370" t="s">
        <v>541</v>
      </c>
      <c r="E370" s="2">
        <v>36000</v>
      </c>
    </row>
    <row r="371" spans="4:5">
      <c r="D371" t="s">
        <v>1117</v>
      </c>
      <c r="E371" s="2">
        <v>36000</v>
      </c>
    </row>
    <row r="372" spans="4:5">
      <c r="D372" t="s">
        <v>457</v>
      </c>
      <c r="E372" s="2">
        <v>36000</v>
      </c>
    </row>
    <row r="373" spans="4:5">
      <c r="D373" t="s">
        <v>394</v>
      </c>
      <c r="E373" s="2">
        <v>35000</v>
      </c>
    </row>
    <row r="374" spans="4:5">
      <c r="D374" t="s">
        <v>502</v>
      </c>
      <c r="E374" s="2">
        <v>35000</v>
      </c>
    </row>
    <row r="375" spans="4:5">
      <c r="D375" t="s">
        <v>478</v>
      </c>
      <c r="E375" s="2">
        <v>33750</v>
      </c>
    </row>
    <row r="376" spans="4:5">
      <c r="D376" t="s">
        <v>289</v>
      </c>
      <c r="E376" s="2">
        <v>33750</v>
      </c>
    </row>
    <row r="377" spans="4:5">
      <c r="D377" t="s">
        <v>619</v>
      </c>
      <c r="E377" s="2">
        <v>33750</v>
      </c>
    </row>
    <row r="378" spans="4:5">
      <c r="D378" t="s">
        <v>508</v>
      </c>
      <c r="E378" s="2">
        <v>33750</v>
      </c>
    </row>
    <row r="379" spans="4:5">
      <c r="D379" t="s">
        <v>550</v>
      </c>
      <c r="E379" s="2">
        <v>32500</v>
      </c>
    </row>
    <row r="380" spans="4:5">
      <c r="D380" t="s">
        <v>634</v>
      </c>
      <c r="E380" s="2">
        <v>32500</v>
      </c>
    </row>
    <row r="381" spans="4:5">
      <c r="D381" t="s">
        <v>466</v>
      </c>
      <c r="E381" s="2">
        <v>32500</v>
      </c>
    </row>
    <row r="382" spans="4:5">
      <c r="D382" t="s">
        <v>589</v>
      </c>
      <c r="E382" s="2">
        <v>32000</v>
      </c>
    </row>
    <row r="383" spans="4:5">
      <c r="D383" t="s">
        <v>1029</v>
      </c>
      <c r="E383" s="2">
        <v>32000</v>
      </c>
    </row>
    <row r="384" spans="4:5">
      <c r="D384" t="s">
        <v>637</v>
      </c>
      <c r="E384" s="2">
        <v>32000</v>
      </c>
    </row>
    <row r="385" spans="4:5">
      <c r="D385" t="s">
        <v>292</v>
      </c>
      <c r="E385" s="2">
        <v>32000</v>
      </c>
    </row>
    <row r="386" spans="4:5">
      <c r="D386" t="s">
        <v>421</v>
      </c>
      <c r="E386" s="2">
        <v>32000</v>
      </c>
    </row>
    <row r="387" spans="4:5">
      <c r="D387" t="s">
        <v>1038</v>
      </c>
      <c r="E387" s="2">
        <v>30000</v>
      </c>
    </row>
    <row r="388" spans="4:5">
      <c r="D388" t="s">
        <v>1362</v>
      </c>
      <c r="E388" s="2">
        <v>30000</v>
      </c>
    </row>
    <row r="389" spans="4:5">
      <c r="D389" t="s">
        <v>1206</v>
      </c>
      <c r="E389" s="2">
        <v>30000</v>
      </c>
    </row>
    <row r="390" spans="4:5">
      <c r="D390" t="s">
        <v>1076</v>
      </c>
      <c r="E390" s="2">
        <v>30000</v>
      </c>
    </row>
    <row r="391" spans="4:5">
      <c r="D391" t="s">
        <v>1269</v>
      </c>
      <c r="E391" s="2">
        <v>30000</v>
      </c>
    </row>
    <row r="392" spans="4:5">
      <c r="D392" t="s">
        <v>936</v>
      </c>
      <c r="E392" s="2">
        <v>30000</v>
      </c>
    </row>
    <row r="393" spans="4:5">
      <c r="D393" t="s">
        <v>1305</v>
      </c>
      <c r="E393" s="2">
        <v>30000</v>
      </c>
    </row>
    <row r="394" spans="4:5">
      <c r="D394" t="s">
        <v>1203</v>
      </c>
      <c r="E394" s="2">
        <v>30000</v>
      </c>
    </row>
    <row r="395" spans="4:5">
      <c r="D395" t="s">
        <v>1242</v>
      </c>
      <c r="E395" s="2">
        <v>30000</v>
      </c>
    </row>
    <row r="396" spans="4:5">
      <c r="D396" t="s">
        <v>1032</v>
      </c>
      <c r="E396" s="2">
        <v>30000</v>
      </c>
    </row>
    <row r="397" spans="4:5">
      <c r="D397" t="s">
        <v>517</v>
      </c>
      <c r="E397" s="2">
        <v>30000</v>
      </c>
    </row>
    <row r="398" spans="4:5">
      <c r="D398" t="s">
        <v>484</v>
      </c>
      <c r="E398" s="2">
        <v>30000</v>
      </c>
    </row>
    <row r="399" spans="4:5">
      <c r="D399" t="s">
        <v>571</v>
      </c>
      <c r="E399" s="2">
        <v>30000</v>
      </c>
    </row>
    <row r="400" spans="4:5">
      <c r="D400" t="s">
        <v>1055</v>
      </c>
      <c r="E400" s="2">
        <v>30000</v>
      </c>
    </row>
    <row r="401" spans="4:5">
      <c r="D401" t="s">
        <v>1153</v>
      </c>
      <c r="E401" s="2">
        <v>30000</v>
      </c>
    </row>
    <row r="402" spans="4:5">
      <c r="D402" t="s">
        <v>1350</v>
      </c>
      <c r="E402" s="2">
        <v>30000</v>
      </c>
    </row>
    <row r="403" spans="4:5">
      <c r="D403" t="s">
        <v>598</v>
      </c>
      <c r="E403" s="2">
        <v>30000</v>
      </c>
    </row>
    <row r="404" spans="4:5">
      <c r="D404" t="s">
        <v>993</v>
      </c>
      <c r="E404" s="2">
        <v>30000</v>
      </c>
    </row>
    <row r="405" spans="4:5">
      <c r="D405" t="s">
        <v>400</v>
      </c>
      <c r="E405" s="2">
        <v>28125</v>
      </c>
    </row>
    <row r="406" spans="4:5">
      <c r="D406" t="s">
        <v>625</v>
      </c>
      <c r="E406" s="2">
        <v>28000</v>
      </c>
    </row>
    <row r="407" spans="4:5">
      <c r="D407" t="s">
        <v>1147</v>
      </c>
      <c r="E407" s="2">
        <v>28000</v>
      </c>
    </row>
    <row r="408" spans="4:5">
      <c r="D408" t="s">
        <v>1283</v>
      </c>
      <c r="E408" s="2">
        <v>28000</v>
      </c>
    </row>
    <row r="409" spans="4:5">
      <c r="D409" t="s">
        <v>451</v>
      </c>
      <c r="E409" s="2">
        <v>27500</v>
      </c>
    </row>
    <row r="410" spans="4:5">
      <c r="D410" t="s">
        <v>1286</v>
      </c>
      <c r="E410" s="2">
        <v>27000</v>
      </c>
    </row>
    <row r="411" spans="4:5">
      <c r="D411" t="s">
        <v>1365</v>
      </c>
      <c r="E411" s="2">
        <v>27000</v>
      </c>
    </row>
    <row r="412" spans="4:5">
      <c r="D412" t="s">
        <v>313</v>
      </c>
      <c r="E412" s="2">
        <v>27000</v>
      </c>
    </row>
    <row r="413" spans="4:5">
      <c r="D413" t="s">
        <v>984</v>
      </c>
      <c r="E413" s="2">
        <v>27000</v>
      </c>
    </row>
    <row r="414" spans="4:5">
      <c r="D414" t="s">
        <v>916</v>
      </c>
      <c r="E414" s="2">
        <v>27000</v>
      </c>
    </row>
    <row r="415" spans="4:5">
      <c r="D415" t="s">
        <v>463</v>
      </c>
      <c r="E415" s="2">
        <v>27000</v>
      </c>
    </row>
    <row r="416" spans="4:5">
      <c r="D416" t="s">
        <v>583</v>
      </c>
      <c r="E416" s="2">
        <v>26250</v>
      </c>
    </row>
    <row r="417" spans="4:5">
      <c r="D417" t="s">
        <v>496</v>
      </c>
      <c r="E417" s="2">
        <v>25500</v>
      </c>
    </row>
    <row r="418" spans="4:5">
      <c r="D418" t="s">
        <v>529</v>
      </c>
      <c r="E418" s="2">
        <v>25000</v>
      </c>
    </row>
    <row r="419" spans="4:5">
      <c r="D419" t="s">
        <v>1097</v>
      </c>
      <c r="E419" s="2">
        <v>25000</v>
      </c>
    </row>
    <row r="420" spans="4:5">
      <c r="D420" t="s">
        <v>373</v>
      </c>
      <c r="E420" s="2">
        <v>25000</v>
      </c>
    </row>
    <row r="421" spans="4:5">
      <c r="D421" t="s">
        <v>334</v>
      </c>
      <c r="E421" s="2">
        <v>25000</v>
      </c>
    </row>
    <row r="422" spans="4:5">
      <c r="D422" t="s">
        <v>559</v>
      </c>
      <c r="E422" s="2">
        <v>24750</v>
      </c>
    </row>
    <row r="423" spans="4:5">
      <c r="D423" t="s">
        <v>622</v>
      </c>
      <c r="E423" s="2">
        <v>24000</v>
      </c>
    </row>
    <row r="424" spans="4:5">
      <c r="D424" t="s">
        <v>1280</v>
      </c>
      <c r="E424" s="2">
        <v>24000</v>
      </c>
    </row>
    <row r="425" spans="4:5">
      <c r="D425" t="s">
        <v>1073</v>
      </c>
      <c r="E425" s="2">
        <v>24000</v>
      </c>
    </row>
    <row r="426" spans="4:5">
      <c r="D426" t="s">
        <v>1201</v>
      </c>
      <c r="E426" s="2">
        <v>24000</v>
      </c>
    </row>
    <row r="427" spans="4:5">
      <c r="D427" t="s">
        <v>1106</v>
      </c>
      <c r="E427" s="2">
        <v>24000</v>
      </c>
    </row>
    <row r="428" spans="4:5">
      <c r="D428" t="s">
        <v>1376</v>
      </c>
      <c r="E428" s="2">
        <v>24000</v>
      </c>
    </row>
    <row r="429" spans="4:5">
      <c r="D429" t="s">
        <v>442</v>
      </c>
      <c r="E429" s="2">
        <v>24000</v>
      </c>
    </row>
    <row r="430" spans="4:5">
      <c r="D430" t="s">
        <v>1329</v>
      </c>
      <c r="E430" s="2">
        <v>24000</v>
      </c>
    </row>
    <row r="431" spans="4:5">
      <c r="D431" t="s">
        <v>1123</v>
      </c>
      <c r="E431" s="2">
        <v>24000</v>
      </c>
    </row>
    <row r="432" spans="4:5">
      <c r="D432" t="s">
        <v>547</v>
      </c>
      <c r="E432" s="2">
        <v>22500</v>
      </c>
    </row>
    <row r="433" spans="4:5">
      <c r="D433" t="s">
        <v>1050</v>
      </c>
      <c r="E433" s="2">
        <v>22500</v>
      </c>
    </row>
    <row r="434" spans="4:5">
      <c r="D434" t="s">
        <v>1218</v>
      </c>
      <c r="E434" s="2">
        <v>22500</v>
      </c>
    </row>
    <row r="435" spans="4:5">
      <c r="D435" t="s">
        <v>1120</v>
      </c>
      <c r="E435" s="2">
        <v>22500</v>
      </c>
    </row>
    <row r="436" spans="4:5">
      <c r="D436" t="s">
        <v>418</v>
      </c>
      <c r="E436" s="2">
        <v>22500</v>
      </c>
    </row>
    <row r="437" spans="4:5">
      <c r="D437" t="s">
        <v>972</v>
      </c>
      <c r="E437" s="2">
        <v>22500</v>
      </c>
    </row>
    <row r="438" spans="4:5">
      <c r="D438" t="s">
        <v>523</v>
      </c>
      <c r="E438" s="2">
        <v>22500</v>
      </c>
    </row>
    <row r="439" spans="4:5">
      <c r="D439" t="s">
        <v>1088</v>
      </c>
      <c r="E439" s="2">
        <v>22500</v>
      </c>
    </row>
    <row r="440" spans="4:5">
      <c r="D440" t="s">
        <v>595</v>
      </c>
      <c r="E440" s="2">
        <v>21000</v>
      </c>
    </row>
    <row r="441" spans="4:5">
      <c r="D441" t="s">
        <v>397</v>
      </c>
      <c r="E441" s="2">
        <v>21000</v>
      </c>
    </row>
    <row r="442" spans="4:5">
      <c r="D442" t="s">
        <v>1041</v>
      </c>
      <c r="E442" s="2">
        <v>20000</v>
      </c>
    </row>
    <row r="443" spans="4:5">
      <c r="D443" t="s">
        <v>574</v>
      </c>
      <c r="E443" s="2">
        <v>20000</v>
      </c>
    </row>
    <row r="444" spans="4:5">
      <c r="D444" t="s">
        <v>460</v>
      </c>
      <c r="E444" s="2">
        <v>20000</v>
      </c>
    </row>
    <row r="445" spans="4:5">
      <c r="D445" t="s">
        <v>1005</v>
      </c>
      <c r="E445" s="2">
        <v>20000</v>
      </c>
    </row>
    <row r="446" spans="4:5">
      <c r="D446" t="s">
        <v>1156</v>
      </c>
      <c r="E446" s="2">
        <v>20000</v>
      </c>
    </row>
    <row r="447" spans="4:5">
      <c r="D447" t="s">
        <v>1164</v>
      </c>
      <c r="E447" s="2">
        <v>20000</v>
      </c>
    </row>
    <row r="448" spans="4:5">
      <c r="D448" t="s">
        <v>1047</v>
      </c>
      <c r="E448" s="2">
        <v>20000</v>
      </c>
    </row>
    <row r="449" spans="4:5">
      <c r="D449" t="s">
        <v>1266</v>
      </c>
      <c r="E449" s="2">
        <v>18750</v>
      </c>
    </row>
    <row r="450" spans="4:5">
      <c r="D450" t="s">
        <v>1291</v>
      </c>
      <c r="E450" s="2">
        <v>18750</v>
      </c>
    </row>
    <row r="451" spans="4:5">
      <c r="D451" t="s">
        <v>996</v>
      </c>
      <c r="E451" s="2">
        <v>18750</v>
      </c>
    </row>
    <row r="452" spans="4:5">
      <c r="D452" t="s">
        <v>388</v>
      </c>
      <c r="E452" s="2">
        <v>18000</v>
      </c>
    </row>
    <row r="453" spans="4:5">
      <c r="D453" t="s">
        <v>1344</v>
      </c>
      <c r="E453" s="2">
        <v>18000</v>
      </c>
    </row>
    <row r="454" spans="4:5">
      <c r="D454" t="s">
        <v>1114</v>
      </c>
      <c r="E454" s="2">
        <v>18000</v>
      </c>
    </row>
    <row r="455" spans="4:5">
      <c r="D455" t="s">
        <v>325</v>
      </c>
      <c r="E455" s="2">
        <v>18000</v>
      </c>
    </row>
    <row r="456" spans="4:5">
      <c r="D456" t="s">
        <v>1192</v>
      </c>
      <c r="E456" s="2">
        <v>18000</v>
      </c>
    </row>
    <row r="457" spans="4:5">
      <c r="D457" t="s">
        <v>1064</v>
      </c>
      <c r="E457" s="2">
        <v>18000</v>
      </c>
    </row>
    <row r="458" spans="4:5">
      <c r="D458" t="s">
        <v>1161</v>
      </c>
      <c r="E458" s="2">
        <v>18000</v>
      </c>
    </row>
    <row r="459" spans="4:5">
      <c r="D459" t="s">
        <v>1141</v>
      </c>
      <c r="E459" s="2">
        <v>18000</v>
      </c>
    </row>
    <row r="460" spans="4:5">
      <c r="D460" t="s">
        <v>556</v>
      </c>
      <c r="E460" s="2">
        <v>17500</v>
      </c>
    </row>
    <row r="461" spans="4:5">
      <c r="D461" t="s">
        <v>1374</v>
      </c>
      <c r="E461" s="2">
        <v>16000</v>
      </c>
    </row>
    <row r="462" spans="4:5">
      <c r="D462" t="s">
        <v>1111</v>
      </c>
      <c r="E462" s="2">
        <v>16000</v>
      </c>
    </row>
    <row r="463" spans="4:5">
      <c r="D463" t="s">
        <v>1251</v>
      </c>
      <c r="E463" s="2">
        <v>16000</v>
      </c>
    </row>
    <row r="464" spans="4:5">
      <c r="D464" t="s">
        <v>1239</v>
      </c>
      <c r="E464" s="2">
        <v>15000</v>
      </c>
    </row>
    <row r="465" spans="4:5">
      <c r="D465" t="s">
        <v>1168</v>
      </c>
      <c r="E465" s="2">
        <v>15000</v>
      </c>
    </row>
    <row r="466" spans="4:5">
      <c r="D466" t="s">
        <v>1299</v>
      </c>
      <c r="E466" s="2">
        <v>15000</v>
      </c>
    </row>
    <row r="467" spans="4:5">
      <c r="D467" t="s">
        <v>1335</v>
      </c>
      <c r="E467" s="2">
        <v>15000</v>
      </c>
    </row>
    <row r="468" spans="4:5">
      <c r="D468" t="s">
        <v>535</v>
      </c>
      <c r="E468" s="2">
        <v>15000</v>
      </c>
    </row>
    <row r="469" spans="4:5">
      <c r="D469" t="s">
        <v>1103</v>
      </c>
      <c r="E469" s="2">
        <v>15000</v>
      </c>
    </row>
    <row r="470" spans="4:5">
      <c r="D470" t="s">
        <v>1353</v>
      </c>
      <c r="E470" s="2">
        <v>14000</v>
      </c>
    </row>
    <row r="471" spans="4:5">
      <c r="D471" t="s">
        <v>1091</v>
      </c>
      <c r="E471" s="2">
        <v>13500</v>
      </c>
    </row>
    <row r="472" spans="4:5">
      <c r="D472" t="s">
        <v>1308</v>
      </c>
      <c r="E472" s="2">
        <v>13500</v>
      </c>
    </row>
    <row r="473" spans="4:5">
      <c r="D473" t="s">
        <v>1311</v>
      </c>
      <c r="E473" s="2">
        <v>13500</v>
      </c>
    </row>
    <row r="474" spans="4:5">
      <c r="D474" t="s">
        <v>445</v>
      </c>
      <c r="E474" s="2">
        <v>13125</v>
      </c>
    </row>
    <row r="475" spans="4:5">
      <c r="D475" t="s">
        <v>1320</v>
      </c>
      <c r="E475" s="2">
        <v>12000</v>
      </c>
    </row>
    <row r="476" spans="4:5">
      <c r="D476" t="s">
        <v>1079</v>
      </c>
      <c r="E476" s="2">
        <v>12000</v>
      </c>
    </row>
    <row r="477" spans="4:5">
      <c r="D477" t="s">
        <v>1359</v>
      </c>
      <c r="E477" s="2">
        <v>12000</v>
      </c>
    </row>
    <row r="478" spans="4:5">
      <c r="D478" t="s">
        <v>1085</v>
      </c>
      <c r="E478" s="2">
        <v>12000</v>
      </c>
    </row>
    <row r="479" spans="4:5">
      <c r="D479" t="s">
        <v>1171</v>
      </c>
      <c r="E479" s="2">
        <v>12000</v>
      </c>
    </row>
    <row r="480" spans="4:5">
      <c r="D480" t="s">
        <v>1126</v>
      </c>
      <c r="E480" s="2">
        <v>12000</v>
      </c>
    </row>
    <row r="481" spans="4:5">
      <c r="D481" t="s">
        <v>1195</v>
      </c>
      <c r="E481" s="2">
        <v>11250</v>
      </c>
    </row>
    <row r="482" spans="4:5">
      <c r="D482" t="s">
        <v>631</v>
      </c>
      <c r="E482" s="2">
        <v>11250</v>
      </c>
    </row>
    <row r="483" spans="4:5">
      <c r="D483" t="s">
        <v>1020</v>
      </c>
      <c r="E483" s="2">
        <v>11250</v>
      </c>
    </row>
    <row r="484" spans="4:5">
      <c r="D484" t="s">
        <v>1277</v>
      </c>
      <c r="E484" s="2">
        <v>11250</v>
      </c>
    </row>
    <row r="485" spans="4:5">
      <c r="D485" t="s">
        <v>1289</v>
      </c>
      <c r="E485" s="2">
        <v>11250</v>
      </c>
    </row>
    <row r="486" spans="4:5">
      <c r="D486" t="s">
        <v>1368</v>
      </c>
      <c r="E486" s="2">
        <v>10500</v>
      </c>
    </row>
    <row r="487" spans="4:5">
      <c r="D487" t="s">
        <v>1347</v>
      </c>
      <c r="E487" s="2">
        <v>10000</v>
      </c>
    </row>
    <row r="488" spans="4:5">
      <c r="D488" t="s">
        <v>1198</v>
      </c>
      <c r="E488" s="2">
        <v>10000</v>
      </c>
    </row>
    <row r="489" spans="4:5">
      <c r="D489" t="s">
        <v>1341</v>
      </c>
      <c r="E489" s="2">
        <v>10000</v>
      </c>
    </row>
    <row r="490" spans="4:5">
      <c r="D490" t="s">
        <v>1135</v>
      </c>
      <c r="E490" s="2">
        <v>10000</v>
      </c>
    </row>
    <row r="491" spans="4:5">
      <c r="D491" t="s">
        <v>1174</v>
      </c>
      <c r="E491" s="2">
        <v>10000</v>
      </c>
    </row>
    <row r="492" spans="4:5">
      <c r="D492" t="s">
        <v>1254</v>
      </c>
      <c r="E492" s="2">
        <v>9000</v>
      </c>
    </row>
    <row r="493" spans="4:5">
      <c r="D493" t="s">
        <v>1332</v>
      </c>
      <c r="E493" s="2">
        <v>9000</v>
      </c>
    </row>
    <row r="494" spans="4:5">
      <c r="D494" t="s">
        <v>1323</v>
      </c>
      <c r="E494" s="2">
        <v>9000</v>
      </c>
    </row>
    <row r="495" spans="4:5">
      <c r="D495" t="s">
        <v>1150</v>
      </c>
      <c r="E495" s="2">
        <v>7875</v>
      </c>
    </row>
    <row r="496" spans="4:5">
      <c r="D496" t="s">
        <v>1356</v>
      </c>
      <c r="E496" s="2">
        <v>7500</v>
      </c>
    </row>
    <row r="497" spans="4:5">
      <c r="D497" t="s">
        <v>1138</v>
      </c>
      <c r="E497" s="2">
        <v>7500</v>
      </c>
    </row>
    <row r="498" spans="4:5">
      <c r="D498" t="s">
        <v>1371</v>
      </c>
      <c r="E498" s="2">
        <v>4500</v>
      </c>
    </row>
    <row r="499" spans="4:5">
      <c r="D499" t="s">
        <v>1379</v>
      </c>
      <c r="E499" s="2">
        <v>127683125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C25"/>
  <sheetViews>
    <sheetView workbookViewId="0">
      <selection activeCell="G10" sqref="G10"/>
    </sheetView>
  </sheetViews>
  <sheetFormatPr defaultColWidth="9.14285714285714" defaultRowHeight="15" outlineLevelCol="2"/>
  <cols>
    <col min="1" max="1" width="25.4285714285714" customWidth="1"/>
    <col min="2" max="2" width="20.4285714285714" customWidth="1"/>
    <col min="3" max="3" width="11.4285714285714"/>
  </cols>
  <sheetData>
    <row r="1" spans="1:1">
      <c r="A1" s="1" t="s">
        <v>1390</v>
      </c>
    </row>
    <row r="2" spans="1:2">
      <c r="A2" t="s">
        <v>1391</v>
      </c>
      <c r="B2" s="2">
        <f>SUM(tblSales[Revenue])</f>
        <v>724952500</v>
      </c>
    </row>
    <row r="3" spans="1:2">
      <c r="A3" t="s">
        <v>1392</v>
      </c>
      <c r="B3" s="3">
        <f>SUM(tblSales[Profit])</f>
        <v>127683125</v>
      </c>
    </row>
    <row r="4" spans="1:2">
      <c r="A4" t="s">
        <v>7</v>
      </c>
      <c r="B4" s="4">
        <f>SUM(tblSales[Units Sold])</f>
        <v>67991</v>
      </c>
    </row>
    <row r="5" spans="1:2">
      <c r="A5" t="s">
        <v>1393</v>
      </c>
      <c r="B5" s="5">
        <f>SUM(tblSales[Profit])/SUM(tblSales[Revenue])</f>
        <v>0.17612619447481</v>
      </c>
    </row>
    <row r="6" spans="1:2">
      <c r="A6" t="s">
        <v>1394</v>
      </c>
      <c r="B6" t="str" cm="1">
        <f t="array" ref="B6">_xlfn.XLOOKUP(MAX(tblSales[Revenue]),tblSales[Revenue],tblSales[Product])</f>
        <v>iPhone 15 Pro Max</v>
      </c>
    </row>
    <row r="7" spans="1:2">
      <c r="A7" t="s">
        <v>1395</v>
      </c>
      <c r="B7" t="str" cm="1">
        <f t="array" ref="B7">_xlfn.XLOOKUP(MAX(tblSales[Revenue]),tblSales[Revenue],tblSales[Region])</f>
        <v>South</v>
      </c>
    </row>
    <row r="8" spans="1:2">
      <c r="A8" t="s">
        <v>1396</v>
      </c>
      <c r="B8" s="2">
        <f>AVERAGE(tblSales[Revenue])</f>
        <v>1449905</v>
      </c>
    </row>
    <row r="10" spans="1:3">
      <c r="A10" s="1" t="s">
        <v>13</v>
      </c>
      <c r="B10" s="1" t="s">
        <v>8</v>
      </c>
      <c r="C10" s="1" t="s">
        <v>1397</v>
      </c>
    </row>
    <row r="11" spans="1:2">
      <c r="A11" t="s">
        <v>1380</v>
      </c>
      <c r="B11" s="2" cm="1">
        <f t="array" ref="B11:B20">Pivot_Tables!B16:B25</f>
        <v>21742500</v>
      </c>
    </row>
    <row r="12" spans="1:3">
      <c r="A12" t="s">
        <v>1381</v>
      </c>
      <c r="B12" s="2">
        <v>23222500</v>
      </c>
      <c r="C12" s="5">
        <f t="shared" ref="C12:C20" si="0">(B12-B11)/B11</f>
        <v>0.0680694492353685</v>
      </c>
    </row>
    <row r="13" spans="1:3">
      <c r="A13" t="s">
        <v>1382</v>
      </c>
      <c r="B13" s="2">
        <v>16767500</v>
      </c>
      <c r="C13" s="5">
        <f t="shared" si="0"/>
        <v>-0.277963182258585</v>
      </c>
    </row>
    <row r="14" spans="1:3">
      <c r="A14" t="s">
        <v>1383</v>
      </c>
      <c r="B14" s="2">
        <v>11165000</v>
      </c>
      <c r="C14" s="5">
        <f t="shared" si="0"/>
        <v>-0.334128522439243</v>
      </c>
    </row>
    <row r="15" spans="1:3">
      <c r="A15" t="s">
        <v>1384</v>
      </c>
      <c r="B15" s="2">
        <v>9760000</v>
      </c>
      <c r="C15" s="5">
        <f t="shared" si="0"/>
        <v>-0.125839677563816</v>
      </c>
    </row>
    <row r="16" spans="1:3">
      <c r="A16" t="s">
        <v>1385</v>
      </c>
      <c r="B16" s="2">
        <v>443845000</v>
      </c>
      <c r="C16" s="5">
        <f t="shared" si="0"/>
        <v>44.4759221311475</v>
      </c>
    </row>
    <row r="17" spans="1:3">
      <c r="A17" t="s">
        <v>1386</v>
      </c>
      <c r="B17" s="2">
        <v>140100000</v>
      </c>
      <c r="C17" s="5">
        <f t="shared" si="0"/>
        <v>-0.684349266072615</v>
      </c>
    </row>
    <row r="18" spans="1:3">
      <c r="A18" t="s">
        <v>1387</v>
      </c>
      <c r="B18" s="2">
        <v>36850000</v>
      </c>
      <c r="C18" s="5">
        <f t="shared" si="0"/>
        <v>-0.736973590292648</v>
      </c>
    </row>
    <row r="19" spans="1:3">
      <c r="A19" t="s">
        <v>1388</v>
      </c>
      <c r="B19" s="2">
        <v>10195000</v>
      </c>
      <c r="C19" s="5">
        <f t="shared" si="0"/>
        <v>-0.723337856173677</v>
      </c>
    </row>
    <row r="20" spans="1:3">
      <c r="A20" t="s">
        <v>1389</v>
      </c>
      <c r="B20" s="2">
        <v>11305000</v>
      </c>
      <c r="C20" s="5">
        <f t="shared" si="0"/>
        <v>0.108876900441393</v>
      </c>
    </row>
    <row r="22" spans="1:2">
      <c r="A22" s="1" t="s">
        <v>1398</v>
      </c>
      <c r="B22" s="2" cm="1">
        <f t="array" ref="B22">LOOKUP(2,1/(Pivot_Tables!B16:B25&lt;&gt;""),Pivot_Tables!B16:B25)</f>
        <v>11305000</v>
      </c>
    </row>
    <row r="23" spans="1:2">
      <c r="A23" s="1" t="s">
        <v>1399</v>
      </c>
      <c r="B23" s="2" cm="1">
        <f t="array" ref="B23">INDEX(Pivot_Tables!B16:B25,COUNTA(Pivot_Tables!B16:B25)-1)</f>
        <v>10195000</v>
      </c>
    </row>
    <row r="24" spans="1:2">
      <c r="A24" s="1" t="s">
        <v>1400</v>
      </c>
      <c r="B24" s="6" cm="1">
        <f t="array" ref="B24">(LOOKUP(2,1/(Pivot_Tables!B16:B25&lt;&gt;""),Pivot_Tables!B16:B25)-INDEX(Pivot_Tables!B16:B25,COUNTA(Pivot_Tables!B16:B25)-1))/INDEX(Pivot_Tables!B16:B25,COUNTA(Pivot_Tables!B16:B25)-1)</f>
        <v>0.108876900441393</v>
      </c>
    </row>
    <row r="25" spans="1:2">
      <c r="A25" s="1" t="s">
        <v>1401</v>
      </c>
      <c r="B25" s="6" cm="1">
        <f t="array" ref="B25">(LOOKUP(2,1/(Pivot_Tables!B16:B25&lt;&gt;""),Pivot_Tables!B16:B25)-INDEX(Pivot_Tables!B16:B25,1))/INDEX(Pivot_Tables!B16:B25,1)</f>
        <v>-0.480050592158215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showGridLines="0" tabSelected="1" workbookViewId="0">
      <selection activeCell="Q24" sqref="Q24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Raw_Data</vt:lpstr>
      <vt:lpstr>Pivot_Tables</vt:lpstr>
      <vt:lpstr>KPI_Calculations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Oludare Folusho</dc:creator>
  <cp:lastModifiedBy>Folusho Oludare</cp:lastModifiedBy>
  <dcterms:created xsi:type="dcterms:W3CDTF">2026-05-21T16:13:00Z</dcterms:created>
  <dcterms:modified xsi:type="dcterms:W3CDTF">2026-06-13T09:22:32Z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DB21E2A79E7743E4AAB0FBE7B6D24B8A_13</vt:lpwstr>
  </property>
  <property fmtid="{D5CDD505-2E9C-101B-9397-08002B2CF9AE}" pid="3" name="KSOProductBuildVer">
    <vt:lpwstr>2057-12.2.0.19821</vt:lpwstr>
  </property>
</Properties>
</file>